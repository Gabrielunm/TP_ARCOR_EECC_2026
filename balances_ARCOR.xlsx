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i\Desktop\tp arcor\"/>
    </mc:Choice>
  </mc:AlternateContent>
  <xr:revisionPtr revIDLastSave="0" documentId="13_ncr:1_{89DB6629-162C-44FB-B101-5A48BEFC13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neda homogenea" sheetId="4" r:id="rId1"/>
    <sheet name="Balances Originales" sheetId="1" r:id="rId2"/>
    <sheet name="cuadros" sheetId="2" r:id="rId3"/>
    <sheet name="ipc empalme ipi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5" i="4" l="1"/>
  <c r="L20" i="4"/>
  <c r="K20" i="4"/>
  <c r="J20" i="4"/>
  <c r="I20" i="4"/>
  <c r="H20" i="4"/>
  <c r="G20" i="4"/>
  <c r="F20" i="4"/>
  <c r="E20" i="4"/>
  <c r="D20" i="4"/>
  <c r="C20" i="4"/>
  <c r="L4" i="4"/>
  <c r="K4" i="4"/>
  <c r="J4" i="4"/>
  <c r="I4" i="4"/>
  <c r="H4" i="4"/>
  <c r="G4" i="4"/>
  <c r="F4" i="4"/>
  <c r="E4" i="4"/>
  <c r="D4" i="4"/>
  <c r="C4" i="4"/>
  <c r="E237" i="2"/>
  <c r="E236" i="2"/>
  <c r="E235" i="2"/>
  <c r="E234" i="2"/>
  <c r="E233" i="2"/>
  <c r="E232" i="2"/>
  <c r="E231" i="2"/>
  <c r="C231" i="2"/>
  <c r="B231" i="2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5" i="4" l="1"/>
  <c r="K5" i="4"/>
  <c r="J5" i="4"/>
  <c r="I5" i="4"/>
  <c r="H5" i="4"/>
  <c r="G5" i="4"/>
  <c r="F5" i="4"/>
  <c r="E5" i="4"/>
  <c r="D5" i="4"/>
  <c r="C5" i="4"/>
  <c r="L7" i="4" l="1"/>
  <c r="L12" i="4"/>
  <c r="L13" i="4"/>
  <c r="L14" i="4"/>
  <c r="L9" i="4"/>
  <c r="L10" i="4"/>
  <c r="L8" i="4"/>
  <c r="L15" i="4"/>
  <c r="L16" i="4"/>
  <c r="L18" i="4"/>
  <c r="L19" i="4"/>
  <c r="L21" i="4"/>
  <c r="L22" i="4"/>
  <c r="L23" i="4"/>
  <c r="L24" i="4"/>
  <c r="L25" i="4"/>
  <c r="L26" i="4"/>
  <c r="L27" i="4"/>
  <c r="L28" i="4"/>
  <c r="L30" i="4"/>
  <c r="L11" i="4"/>
  <c r="L17" i="4"/>
  <c r="L32" i="4"/>
  <c r="L37" i="4"/>
  <c r="L38" i="4"/>
  <c r="L39" i="4"/>
  <c r="L40" i="4"/>
  <c r="L41" i="4"/>
  <c r="L42" i="4"/>
  <c r="L29" i="4"/>
  <c r="L79" i="4" s="1"/>
  <c r="C227" i="2" s="1"/>
  <c r="L31" i="4"/>
  <c r="L33" i="4"/>
  <c r="L34" i="4"/>
  <c r="L84" i="4" s="1"/>
  <c r="L35" i="4"/>
  <c r="L98" i="4" s="1"/>
  <c r="L36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0" i="4"/>
  <c r="L60" i="4"/>
  <c r="L61" i="4"/>
  <c r="L62" i="4"/>
  <c r="L63" i="4"/>
  <c r="L65" i="4"/>
  <c r="L66" i="4"/>
  <c r="L69" i="4"/>
  <c r="L70" i="4"/>
  <c r="L91" i="4" s="1"/>
  <c r="L58" i="4"/>
  <c r="L64" i="4"/>
  <c r="L68" i="4"/>
  <c r="L72" i="4"/>
  <c r="L71" i="4"/>
  <c r="L57" i="4"/>
  <c r="L59" i="4"/>
  <c r="L67" i="4"/>
  <c r="K7" i="4"/>
  <c r="K8" i="4"/>
  <c r="K11" i="4"/>
  <c r="K12" i="4"/>
  <c r="K13" i="4"/>
  <c r="K14" i="4"/>
  <c r="K15" i="4"/>
  <c r="K22" i="4"/>
  <c r="K9" i="4"/>
  <c r="K17" i="4"/>
  <c r="K19" i="4"/>
  <c r="K21" i="4"/>
  <c r="K23" i="4"/>
  <c r="K24" i="4"/>
  <c r="K25" i="4"/>
  <c r="K26" i="4"/>
  <c r="K27" i="4"/>
  <c r="K28" i="4"/>
  <c r="K10" i="4"/>
  <c r="K18" i="4"/>
  <c r="K80" i="4" s="1"/>
  <c r="K29" i="4"/>
  <c r="K31" i="4"/>
  <c r="K16" i="4"/>
  <c r="K33" i="4"/>
  <c r="K34" i="4"/>
  <c r="K84" i="4" s="1"/>
  <c r="K35" i="4"/>
  <c r="K37" i="4"/>
  <c r="K38" i="4"/>
  <c r="K39" i="4"/>
  <c r="K40" i="4"/>
  <c r="K83" i="4" s="1"/>
  <c r="K41" i="4"/>
  <c r="K42" i="4"/>
  <c r="K30" i="4"/>
  <c r="K32" i="4"/>
  <c r="K36" i="4"/>
  <c r="K43" i="4"/>
  <c r="K44" i="4"/>
  <c r="K45" i="4"/>
  <c r="K46" i="4"/>
  <c r="K47" i="4"/>
  <c r="K48" i="4"/>
  <c r="K49" i="4"/>
  <c r="K52" i="4"/>
  <c r="K53" i="4"/>
  <c r="K54" i="4"/>
  <c r="K55" i="4"/>
  <c r="K56" i="4"/>
  <c r="K61" i="4"/>
  <c r="K62" i="4"/>
  <c r="K63" i="4"/>
  <c r="K50" i="4"/>
  <c r="K51" i="4"/>
  <c r="K57" i="4"/>
  <c r="K60" i="4"/>
  <c r="K64" i="4"/>
  <c r="K59" i="4"/>
  <c r="K65" i="4"/>
  <c r="K66" i="4"/>
  <c r="K67" i="4"/>
  <c r="K69" i="4"/>
  <c r="K71" i="4"/>
  <c r="K58" i="4"/>
  <c r="K68" i="4"/>
  <c r="K70" i="4"/>
  <c r="K91" i="4" s="1"/>
  <c r="K72" i="4"/>
  <c r="J7" i="4"/>
  <c r="J8" i="4"/>
  <c r="J12" i="4"/>
  <c r="J13" i="4"/>
  <c r="J14" i="4"/>
  <c r="J15" i="4"/>
  <c r="J11" i="4"/>
  <c r="J19" i="4"/>
  <c r="J21" i="4"/>
  <c r="J22" i="4"/>
  <c r="J23" i="4"/>
  <c r="J24" i="4"/>
  <c r="J25" i="4"/>
  <c r="J26" i="4"/>
  <c r="J27" i="4"/>
  <c r="J28" i="4"/>
  <c r="J29" i="4"/>
  <c r="J36" i="4"/>
  <c r="J9" i="4"/>
  <c r="J10" i="4"/>
  <c r="J31" i="4"/>
  <c r="J34" i="4"/>
  <c r="J84" i="4" s="1"/>
  <c r="J37" i="4"/>
  <c r="J38" i="4"/>
  <c r="J39" i="4"/>
  <c r="J40" i="4"/>
  <c r="J83" i="4" s="1"/>
  <c r="J41" i="4"/>
  <c r="J42" i="4"/>
  <c r="J16" i="4"/>
  <c r="J17" i="4"/>
  <c r="J18" i="4"/>
  <c r="J80" i="4" s="1"/>
  <c r="J30" i="4"/>
  <c r="J32" i="4"/>
  <c r="J33" i="4"/>
  <c r="J35" i="4"/>
  <c r="J98" i="4" s="1"/>
  <c r="J43" i="4"/>
  <c r="J44" i="4"/>
  <c r="J45" i="4"/>
  <c r="J46" i="4"/>
  <c r="J47" i="4"/>
  <c r="J48" i="4"/>
  <c r="J49" i="4"/>
  <c r="J52" i="4"/>
  <c r="J53" i="4"/>
  <c r="J54" i="4"/>
  <c r="J55" i="4"/>
  <c r="J56" i="4"/>
  <c r="J51" i="4"/>
  <c r="J57" i="4"/>
  <c r="J61" i="4"/>
  <c r="J62" i="4"/>
  <c r="J63" i="4"/>
  <c r="J58" i="4"/>
  <c r="J59" i="4"/>
  <c r="J65" i="4"/>
  <c r="J68" i="4"/>
  <c r="J60" i="4"/>
  <c r="J70" i="4"/>
  <c r="J91" i="4" s="1"/>
  <c r="J71" i="4"/>
  <c r="J72" i="4"/>
  <c r="J50" i="4"/>
  <c r="J67" i="4"/>
  <c r="J69" i="4"/>
  <c r="J64" i="4"/>
  <c r="J66" i="4"/>
  <c r="I7" i="4"/>
  <c r="I8" i="4"/>
  <c r="I12" i="4"/>
  <c r="I13" i="4"/>
  <c r="I14" i="4"/>
  <c r="I15" i="4"/>
  <c r="I17" i="4"/>
  <c r="I10" i="4"/>
  <c r="I18" i="4"/>
  <c r="I80" i="4" s="1"/>
  <c r="I19" i="4"/>
  <c r="I21" i="4"/>
  <c r="I22" i="4"/>
  <c r="I23" i="4"/>
  <c r="I24" i="4"/>
  <c r="I25" i="4"/>
  <c r="I26" i="4"/>
  <c r="I27" i="4"/>
  <c r="I28" i="4"/>
  <c r="I29" i="4"/>
  <c r="I9" i="4"/>
  <c r="I11" i="4"/>
  <c r="I16" i="4"/>
  <c r="I30" i="4"/>
  <c r="I32" i="4"/>
  <c r="I34" i="4"/>
  <c r="I84" i="4" s="1"/>
  <c r="I36" i="4"/>
  <c r="I37" i="4"/>
  <c r="I38" i="4"/>
  <c r="I39" i="4"/>
  <c r="I40" i="4"/>
  <c r="I83" i="4" s="1"/>
  <c r="I41" i="4"/>
  <c r="I42" i="4"/>
  <c r="I43" i="4"/>
  <c r="I31" i="4"/>
  <c r="I33" i="4"/>
  <c r="I35" i="4"/>
  <c r="I98" i="4" s="1"/>
  <c r="I44" i="4"/>
  <c r="I45" i="4"/>
  <c r="I46" i="4"/>
  <c r="I47" i="4"/>
  <c r="I48" i="4"/>
  <c r="I49" i="4"/>
  <c r="I50" i="4"/>
  <c r="I52" i="4"/>
  <c r="I53" i="4"/>
  <c r="I54" i="4"/>
  <c r="I55" i="4"/>
  <c r="I56" i="4"/>
  <c r="I57" i="4"/>
  <c r="I60" i="4"/>
  <c r="I61" i="4"/>
  <c r="I62" i="4"/>
  <c r="I63" i="4"/>
  <c r="I66" i="4"/>
  <c r="I67" i="4"/>
  <c r="I69" i="4"/>
  <c r="I70" i="4"/>
  <c r="I68" i="4"/>
  <c r="I71" i="4"/>
  <c r="I51" i="4"/>
  <c r="I64" i="4"/>
  <c r="I58" i="4"/>
  <c r="I59" i="4"/>
  <c r="I65" i="4"/>
  <c r="I72" i="4"/>
  <c r="H7" i="4"/>
  <c r="H8" i="4"/>
  <c r="H12" i="4"/>
  <c r="H13" i="4"/>
  <c r="H14" i="4"/>
  <c r="H15" i="4"/>
  <c r="H19" i="4"/>
  <c r="H9" i="4"/>
  <c r="H16" i="4"/>
  <c r="H17" i="4"/>
  <c r="H21" i="4"/>
  <c r="H22" i="4"/>
  <c r="H23" i="4"/>
  <c r="H24" i="4"/>
  <c r="H25" i="4"/>
  <c r="H26" i="4"/>
  <c r="H27" i="4"/>
  <c r="H28" i="4"/>
  <c r="H29" i="4"/>
  <c r="H31" i="4"/>
  <c r="H33" i="4"/>
  <c r="H34" i="4"/>
  <c r="H84" i="4" s="1"/>
  <c r="H35" i="4"/>
  <c r="H98" i="4" s="1"/>
  <c r="H37" i="4"/>
  <c r="H38" i="4"/>
  <c r="H39" i="4"/>
  <c r="H40" i="4"/>
  <c r="H83" i="4" s="1"/>
  <c r="B226" i="2" s="1"/>
  <c r="H41" i="4"/>
  <c r="H42" i="4"/>
  <c r="H43" i="4"/>
  <c r="H10" i="4"/>
  <c r="H11" i="4"/>
  <c r="H18" i="4"/>
  <c r="H80" i="4" s="1"/>
  <c r="H30" i="4"/>
  <c r="H32" i="4"/>
  <c r="H36" i="4"/>
  <c r="H44" i="4"/>
  <c r="H45" i="4"/>
  <c r="H46" i="4"/>
  <c r="H47" i="4"/>
  <c r="H48" i="4"/>
  <c r="H49" i="4"/>
  <c r="H50" i="4"/>
  <c r="H53" i="4"/>
  <c r="H54" i="4"/>
  <c r="H55" i="4"/>
  <c r="H56" i="4"/>
  <c r="H57" i="4"/>
  <c r="H59" i="4"/>
  <c r="H61" i="4"/>
  <c r="H62" i="4"/>
  <c r="H63" i="4"/>
  <c r="H64" i="4"/>
  <c r="H68" i="4"/>
  <c r="H71" i="4"/>
  <c r="H65" i="4"/>
  <c r="H66" i="4"/>
  <c r="H69" i="4"/>
  <c r="H70" i="4"/>
  <c r="H91" i="4" s="1"/>
  <c r="H72" i="4"/>
  <c r="H58" i="4"/>
  <c r="H51" i="4"/>
  <c r="H52" i="4"/>
  <c r="H60" i="4"/>
  <c r="H67" i="4"/>
  <c r="G7" i="4"/>
  <c r="G8" i="4"/>
  <c r="G10" i="4"/>
  <c r="G13" i="4"/>
  <c r="G14" i="4"/>
  <c r="G15" i="4"/>
  <c r="G16" i="4"/>
  <c r="G18" i="4"/>
  <c r="G11" i="4"/>
  <c r="G19" i="4"/>
  <c r="G21" i="4"/>
  <c r="G22" i="4"/>
  <c r="G23" i="4"/>
  <c r="G24" i="4"/>
  <c r="G25" i="4"/>
  <c r="G26" i="4"/>
  <c r="G27" i="4"/>
  <c r="G28" i="4"/>
  <c r="G29" i="4"/>
  <c r="G17" i="4"/>
  <c r="G30" i="4"/>
  <c r="G32" i="4"/>
  <c r="G34" i="4"/>
  <c r="G84" i="4" s="1"/>
  <c r="G38" i="4"/>
  <c r="G39" i="4"/>
  <c r="G40" i="4"/>
  <c r="G83" i="4" s="1"/>
  <c r="B225" i="2" s="1"/>
  <c r="G41" i="4"/>
  <c r="G42" i="4"/>
  <c r="G43" i="4"/>
  <c r="G9" i="4"/>
  <c r="G12" i="4"/>
  <c r="G31" i="4"/>
  <c r="G33" i="4"/>
  <c r="G35" i="4"/>
  <c r="G98" i="4" s="1"/>
  <c r="G36" i="4"/>
  <c r="G37" i="4"/>
  <c r="G44" i="4"/>
  <c r="G45" i="4"/>
  <c r="G46" i="4"/>
  <c r="G47" i="4"/>
  <c r="G48" i="4"/>
  <c r="G49" i="4"/>
  <c r="G50" i="4"/>
  <c r="G51" i="4"/>
  <c r="G53" i="4"/>
  <c r="G54" i="4"/>
  <c r="G55" i="4"/>
  <c r="G56" i="4"/>
  <c r="G57" i="4"/>
  <c r="G61" i="4"/>
  <c r="G62" i="4"/>
  <c r="G63" i="4"/>
  <c r="G64" i="4"/>
  <c r="G65" i="4"/>
  <c r="G70" i="4"/>
  <c r="G91" i="4" s="1"/>
  <c r="G71" i="4"/>
  <c r="G58" i="4"/>
  <c r="G59" i="4"/>
  <c r="G72" i="4"/>
  <c r="G52" i="4"/>
  <c r="G60" i="4"/>
  <c r="G67" i="4"/>
  <c r="G68" i="4"/>
  <c r="G69" i="4"/>
  <c r="G66" i="4"/>
  <c r="F7" i="4"/>
  <c r="F8" i="4"/>
  <c r="F9" i="4"/>
  <c r="F13" i="4"/>
  <c r="F14" i="4"/>
  <c r="F15" i="4"/>
  <c r="F12" i="4"/>
  <c r="F10" i="4"/>
  <c r="F16" i="4"/>
  <c r="F18" i="4"/>
  <c r="F19" i="4"/>
  <c r="F21" i="4"/>
  <c r="F22" i="4"/>
  <c r="F23" i="4"/>
  <c r="F24" i="4"/>
  <c r="F25" i="4"/>
  <c r="F26" i="4"/>
  <c r="F27" i="4"/>
  <c r="F28" i="4"/>
  <c r="F29" i="4"/>
  <c r="F11" i="4"/>
  <c r="F31" i="4"/>
  <c r="F36" i="4"/>
  <c r="F37" i="4"/>
  <c r="F38" i="4"/>
  <c r="F39" i="4"/>
  <c r="F40" i="4"/>
  <c r="F83" i="4" s="1"/>
  <c r="B224" i="2" s="1"/>
  <c r="F41" i="4"/>
  <c r="F42" i="4"/>
  <c r="F43" i="4"/>
  <c r="F17" i="4"/>
  <c r="F30" i="4"/>
  <c r="F32" i="4"/>
  <c r="F33" i="4"/>
  <c r="F34" i="4"/>
  <c r="F84" i="4" s="1"/>
  <c r="F35" i="4"/>
  <c r="F98" i="4" s="1"/>
  <c r="F44" i="4"/>
  <c r="F45" i="4"/>
  <c r="F46" i="4"/>
  <c r="F47" i="4"/>
  <c r="F48" i="4"/>
  <c r="F49" i="4"/>
  <c r="F50" i="4"/>
  <c r="F52" i="4"/>
  <c r="F53" i="4"/>
  <c r="F54" i="4"/>
  <c r="F55" i="4"/>
  <c r="F56" i="4"/>
  <c r="F57" i="4"/>
  <c r="F58" i="4"/>
  <c r="F61" i="4"/>
  <c r="F62" i="4"/>
  <c r="F63" i="4"/>
  <c r="F64" i="4"/>
  <c r="F51" i="4"/>
  <c r="F59" i="4"/>
  <c r="F60" i="4"/>
  <c r="F69" i="4"/>
  <c r="F66" i="4"/>
  <c r="F67" i="4"/>
  <c r="F71" i="4"/>
  <c r="F72" i="4"/>
  <c r="F70" i="4"/>
  <c r="F91" i="4" s="1"/>
  <c r="F65" i="4"/>
  <c r="F68" i="4"/>
  <c r="E7" i="4"/>
  <c r="E8" i="4"/>
  <c r="E13" i="4"/>
  <c r="E14" i="4"/>
  <c r="E15" i="4"/>
  <c r="E9" i="4"/>
  <c r="E11" i="4"/>
  <c r="E21" i="4"/>
  <c r="E22" i="4"/>
  <c r="E23" i="4"/>
  <c r="E24" i="4"/>
  <c r="E25" i="4"/>
  <c r="E26" i="4"/>
  <c r="E27" i="4"/>
  <c r="E28" i="4"/>
  <c r="E29" i="4"/>
  <c r="E10" i="4"/>
  <c r="E12" i="4"/>
  <c r="E16" i="4"/>
  <c r="E18" i="4"/>
  <c r="E31" i="4"/>
  <c r="E32" i="4"/>
  <c r="E17" i="4"/>
  <c r="E33" i="4"/>
  <c r="E35" i="4"/>
  <c r="E98" i="4" s="1"/>
  <c r="E38" i="4"/>
  <c r="E39" i="4"/>
  <c r="E40" i="4"/>
  <c r="E83" i="4" s="1"/>
  <c r="B223" i="2" s="1"/>
  <c r="E41" i="4"/>
  <c r="E42" i="4"/>
  <c r="E43" i="4"/>
  <c r="E19" i="4"/>
  <c r="E30" i="4"/>
  <c r="E34" i="4"/>
  <c r="E36" i="4"/>
  <c r="E37" i="4"/>
  <c r="E44" i="4"/>
  <c r="E45" i="4"/>
  <c r="E46" i="4"/>
  <c r="E47" i="4"/>
  <c r="E48" i="4"/>
  <c r="E49" i="4"/>
  <c r="E50" i="4"/>
  <c r="E53" i="4"/>
  <c r="E54" i="4"/>
  <c r="E55" i="4"/>
  <c r="E56" i="4"/>
  <c r="E57" i="4"/>
  <c r="E61" i="4"/>
  <c r="E62" i="4"/>
  <c r="E63" i="4"/>
  <c r="E64" i="4"/>
  <c r="E52" i="4"/>
  <c r="E58" i="4"/>
  <c r="E66" i="4"/>
  <c r="E67" i="4"/>
  <c r="E71" i="4"/>
  <c r="E60" i="4"/>
  <c r="E65" i="4"/>
  <c r="E68" i="4"/>
  <c r="E70" i="4"/>
  <c r="E91" i="4" s="1"/>
  <c r="E72" i="4"/>
  <c r="E51" i="4"/>
  <c r="E59" i="4"/>
  <c r="E69" i="4"/>
  <c r="D7" i="4"/>
  <c r="D8" i="4"/>
  <c r="D11" i="4"/>
  <c r="D13" i="4"/>
  <c r="D14" i="4"/>
  <c r="D15" i="4"/>
  <c r="D12" i="4"/>
  <c r="D17" i="4"/>
  <c r="D19" i="4"/>
  <c r="D21" i="4"/>
  <c r="D22" i="4"/>
  <c r="D23" i="4"/>
  <c r="D24" i="4"/>
  <c r="D25" i="4"/>
  <c r="D26" i="4"/>
  <c r="D27" i="4"/>
  <c r="D28" i="4"/>
  <c r="D29" i="4"/>
  <c r="D9" i="4"/>
  <c r="D30" i="4"/>
  <c r="D33" i="4"/>
  <c r="D34" i="4"/>
  <c r="D84" i="4" s="1"/>
  <c r="D36" i="4"/>
  <c r="D38" i="4"/>
  <c r="D39" i="4"/>
  <c r="D40" i="4"/>
  <c r="D83" i="4" s="1"/>
  <c r="B222" i="2" s="1"/>
  <c r="D41" i="4"/>
  <c r="D42" i="4"/>
  <c r="D43" i="4"/>
  <c r="D10" i="4"/>
  <c r="D16" i="4"/>
  <c r="D18" i="4"/>
  <c r="D31" i="4"/>
  <c r="D32" i="4"/>
  <c r="D35" i="4"/>
  <c r="D98" i="4" s="1"/>
  <c r="D37" i="4"/>
  <c r="D44" i="4"/>
  <c r="D45" i="4"/>
  <c r="D46" i="4"/>
  <c r="D47" i="4"/>
  <c r="D48" i="4"/>
  <c r="D49" i="4"/>
  <c r="D50" i="4"/>
  <c r="D53" i="4"/>
  <c r="D54" i="4"/>
  <c r="D55" i="4"/>
  <c r="D56" i="4"/>
  <c r="D57" i="4"/>
  <c r="D61" i="4"/>
  <c r="D62" i="4"/>
  <c r="D63" i="4"/>
  <c r="D64" i="4"/>
  <c r="D65" i="4"/>
  <c r="D68" i="4"/>
  <c r="D70" i="4"/>
  <c r="D91" i="4" s="1"/>
  <c r="D69" i="4"/>
  <c r="D71" i="4"/>
  <c r="D72" i="4"/>
  <c r="D51" i="4"/>
  <c r="D52" i="4"/>
  <c r="D58" i="4"/>
  <c r="D59" i="4"/>
  <c r="D60" i="4"/>
  <c r="D66" i="4"/>
  <c r="D67" i="4"/>
  <c r="C7" i="4"/>
  <c r="C8" i="4"/>
  <c r="C13" i="4"/>
  <c r="C14" i="4"/>
  <c r="C15" i="4"/>
  <c r="C17" i="4"/>
  <c r="C19" i="4"/>
  <c r="C21" i="4"/>
  <c r="C10" i="4"/>
  <c r="C18" i="4"/>
  <c r="C80" i="4" s="1"/>
  <c r="C22" i="4"/>
  <c r="C23" i="4"/>
  <c r="C24" i="4"/>
  <c r="C25" i="4"/>
  <c r="C26" i="4"/>
  <c r="C27" i="4"/>
  <c r="C28" i="4"/>
  <c r="C29" i="4"/>
  <c r="C16" i="4"/>
  <c r="C32" i="4"/>
  <c r="C35" i="4"/>
  <c r="C37" i="4"/>
  <c r="C38" i="4"/>
  <c r="C39" i="4"/>
  <c r="C40" i="4"/>
  <c r="C83" i="4" s="1"/>
  <c r="B221" i="2" s="1"/>
  <c r="C41" i="4"/>
  <c r="C42" i="4"/>
  <c r="C43" i="4"/>
  <c r="C9" i="4"/>
  <c r="C11" i="4"/>
  <c r="C12" i="4"/>
  <c r="C30" i="4"/>
  <c r="C31" i="4"/>
  <c r="C33" i="4"/>
  <c r="C34" i="4"/>
  <c r="C84" i="4" s="1"/>
  <c r="C36" i="4"/>
  <c r="C44" i="4"/>
  <c r="C77" i="4" s="1"/>
  <c r="C45" i="4"/>
  <c r="C46" i="4"/>
  <c r="C47" i="4"/>
  <c r="C48" i="4"/>
  <c r="C49" i="4"/>
  <c r="C50" i="4"/>
  <c r="C51" i="4"/>
  <c r="C53" i="4"/>
  <c r="C54" i="4"/>
  <c r="C55" i="4"/>
  <c r="C56" i="4"/>
  <c r="C57" i="4"/>
  <c r="C59" i="4"/>
  <c r="C60" i="4"/>
  <c r="C61" i="4"/>
  <c r="C62" i="4"/>
  <c r="C63" i="4"/>
  <c r="C64" i="4"/>
  <c r="C58" i="4"/>
  <c r="C66" i="4"/>
  <c r="C71" i="4"/>
  <c r="C72" i="4"/>
  <c r="C52" i="4"/>
  <c r="C67" i="4"/>
  <c r="C68" i="4"/>
  <c r="C70" i="4"/>
  <c r="C91" i="4" s="1"/>
  <c r="C65" i="4"/>
  <c r="C69" i="4"/>
  <c r="L78" i="4" l="1"/>
  <c r="B217" i="2" s="1"/>
  <c r="L90" i="4"/>
  <c r="C217" i="2" s="1"/>
  <c r="L93" i="4"/>
  <c r="D217" i="2" s="1"/>
  <c r="L87" i="4"/>
  <c r="D227" i="2" s="1"/>
  <c r="L97" i="4"/>
  <c r="L74" i="4"/>
  <c r="L76" i="4"/>
  <c r="L92" i="4"/>
  <c r="D237" i="2" s="1"/>
  <c r="L75" i="4"/>
  <c r="L77" i="4"/>
  <c r="L81" i="4"/>
  <c r="L82" i="4"/>
  <c r="L86" i="4"/>
  <c r="L89" i="4"/>
  <c r="C207" i="2" s="1"/>
  <c r="L99" i="4"/>
  <c r="L100" i="4"/>
  <c r="L101" i="4"/>
  <c r="L88" i="4"/>
  <c r="L96" i="4"/>
  <c r="D207" i="2"/>
  <c r="K78" i="4"/>
  <c r="K90" i="4"/>
  <c r="K93" i="4"/>
  <c r="K74" i="4"/>
  <c r="K76" i="4"/>
  <c r="K92" i="4"/>
  <c r="K87" i="4"/>
  <c r="K97" i="4"/>
  <c r="K75" i="4"/>
  <c r="K77" i="4"/>
  <c r="K99" i="4"/>
  <c r="K100" i="4"/>
  <c r="K101" i="4"/>
  <c r="K81" i="4"/>
  <c r="K82" i="4"/>
  <c r="K85" i="4" s="1"/>
  <c r="K86" i="4"/>
  <c r="K89" i="4"/>
  <c r="K88" i="4"/>
  <c r="K96" i="4"/>
  <c r="J78" i="4"/>
  <c r="J90" i="4"/>
  <c r="J93" i="4"/>
  <c r="J74" i="4"/>
  <c r="J76" i="4"/>
  <c r="J92" i="4"/>
  <c r="J87" i="4"/>
  <c r="J97" i="4"/>
  <c r="J75" i="4"/>
  <c r="J77" i="4"/>
  <c r="J99" i="4"/>
  <c r="J100" i="4"/>
  <c r="J101" i="4"/>
  <c r="J81" i="4"/>
  <c r="J82" i="4"/>
  <c r="J85" i="4" s="1"/>
  <c r="J86" i="4"/>
  <c r="J89" i="4"/>
  <c r="J88" i="4"/>
  <c r="J96" i="4"/>
  <c r="I78" i="4"/>
  <c r="I90" i="4"/>
  <c r="I93" i="4"/>
  <c r="I87" i="4"/>
  <c r="I97" i="4"/>
  <c r="I74" i="4"/>
  <c r="I76" i="4"/>
  <c r="I92" i="4"/>
  <c r="I75" i="4"/>
  <c r="I77" i="4"/>
  <c r="I81" i="4"/>
  <c r="I82" i="4"/>
  <c r="I85" i="4" s="1"/>
  <c r="I86" i="4"/>
  <c r="I89" i="4"/>
  <c r="I99" i="4"/>
  <c r="I100" i="4"/>
  <c r="I101" i="4"/>
  <c r="I88" i="4"/>
  <c r="I96" i="4"/>
  <c r="H78" i="4"/>
  <c r="B216" i="2" s="1"/>
  <c r="H90" i="4"/>
  <c r="C216" i="2" s="1"/>
  <c r="H93" i="4"/>
  <c r="D216" i="2" s="1"/>
  <c r="H74" i="4"/>
  <c r="H76" i="4"/>
  <c r="H92" i="4"/>
  <c r="D236" i="2" s="1"/>
  <c r="H87" i="4"/>
  <c r="D226" i="2" s="1"/>
  <c r="H97" i="4"/>
  <c r="H75" i="4"/>
  <c r="C236" i="2" s="1"/>
  <c r="H77" i="4"/>
  <c r="H99" i="4"/>
  <c r="H100" i="4"/>
  <c r="H101" i="4"/>
  <c r="H88" i="4"/>
  <c r="H96" i="4"/>
  <c r="D206" i="2"/>
  <c r="H81" i="4"/>
  <c r="H82" i="4"/>
  <c r="H86" i="4"/>
  <c r="H89" i="4"/>
  <c r="C206" i="2" s="1"/>
  <c r="G87" i="4"/>
  <c r="D225" i="2" s="1"/>
  <c r="G97" i="4"/>
  <c r="G74" i="4"/>
  <c r="G76" i="4"/>
  <c r="G92" i="4"/>
  <c r="D235" i="2" s="1"/>
  <c r="G78" i="4"/>
  <c r="B215" i="2" s="1"/>
  <c r="G90" i="4"/>
  <c r="C215" i="2" s="1"/>
  <c r="G93" i="4"/>
  <c r="D215" i="2" s="1"/>
  <c r="G75" i="4"/>
  <c r="C235" i="2" s="1"/>
  <c r="G77" i="4"/>
  <c r="G99" i="4"/>
  <c r="G100" i="4"/>
  <c r="G101" i="4"/>
  <c r="G88" i="4"/>
  <c r="G96" i="4"/>
  <c r="D205" i="2"/>
  <c r="G89" i="4"/>
  <c r="C205" i="2" s="1"/>
  <c r="G81" i="4"/>
  <c r="G82" i="4"/>
  <c r="G86" i="4"/>
  <c r="F78" i="4"/>
  <c r="B214" i="2" s="1"/>
  <c r="F90" i="4"/>
  <c r="C214" i="2" s="1"/>
  <c r="F93" i="4"/>
  <c r="D214" i="2" s="1"/>
  <c r="F74" i="4"/>
  <c r="F76" i="4"/>
  <c r="F92" i="4"/>
  <c r="D234" i="2" s="1"/>
  <c r="F87" i="4"/>
  <c r="D224" i="2" s="1"/>
  <c r="F97" i="4"/>
  <c r="F75" i="4"/>
  <c r="C234" i="2" s="1"/>
  <c r="F77" i="4"/>
  <c r="F99" i="4"/>
  <c r="F100" i="4"/>
  <c r="F101" i="4"/>
  <c r="F81" i="4"/>
  <c r="F82" i="4"/>
  <c r="F86" i="4"/>
  <c r="F89" i="4"/>
  <c r="C204" i="2" s="1"/>
  <c r="F88" i="4"/>
  <c r="F96" i="4"/>
  <c r="D204" i="2"/>
  <c r="E78" i="4"/>
  <c r="B213" i="2" s="1"/>
  <c r="E90" i="4"/>
  <c r="C213" i="2" s="1"/>
  <c r="E93" i="4"/>
  <c r="D213" i="2" s="1"/>
  <c r="E74" i="4"/>
  <c r="E76" i="4"/>
  <c r="E92" i="4"/>
  <c r="D233" i="2" s="1"/>
  <c r="E87" i="4"/>
  <c r="D223" i="2" s="1"/>
  <c r="E97" i="4"/>
  <c r="E75" i="4"/>
  <c r="C233" i="2" s="1"/>
  <c r="E77" i="4"/>
  <c r="E99" i="4"/>
  <c r="E100" i="4"/>
  <c r="E101" i="4"/>
  <c r="E88" i="4"/>
  <c r="E96" i="4"/>
  <c r="D203" i="2"/>
  <c r="E81" i="4"/>
  <c r="E82" i="4"/>
  <c r="E86" i="4"/>
  <c r="E89" i="4"/>
  <c r="C203" i="2" s="1"/>
  <c r="D78" i="4"/>
  <c r="B212" i="2" s="1"/>
  <c r="D90" i="4"/>
  <c r="C212" i="2" s="1"/>
  <c r="D93" i="4"/>
  <c r="D212" i="2" s="1"/>
  <c r="D87" i="4"/>
  <c r="D222" i="2" s="1"/>
  <c r="D97" i="4"/>
  <c r="D74" i="4"/>
  <c r="D76" i="4"/>
  <c r="D92" i="4"/>
  <c r="D232" i="2" s="1"/>
  <c r="D75" i="4"/>
  <c r="C232" i="2" s="1"/>
  <c r="D77" i="4"/>
  <c r="D99" i="4"/>
  <c r="D100" i="4"/>
  <c r="D101" i="4"/>
  <c r="D88" i="4"/>
  <c r="D96" i="4"/>
  <c r="D202" i="2"/>
  <c r="D81" i="4"/>
  <c r="D82" i="4"/>
  <c r="D86" i="4"/>
  <c r="D89" i="4"/>
  <c r="C202" i="2" s="1"/>
  <c r="C76" i="4"/>
  <c r="C92" i="4"/>
  <c r="D231" i="2" s="1"/>
  <c r="C78" i="4"/>
  <c r="B211" i="2" s="1"/>
  <c r="C90" i="4"/>
  <c r="C211" i="2" s="1"/>
  <c r="C93" i="4"/>
  <c r="D211" i="2" s="1"/>
  <c r="C87" i="4"/>
  <c r="D221" i="2" s="1"/>
  <c r="C97" i="4"/>
  <c r="C81" i="4"/>
  <c r="C82" i="4"/>
  <c r="C86" i="4"/>
  <c r="C89" i="4"/>
  <c r="C201" i="2" s="1"/>
  <c r="C99" i="4"/>
  <c r="C100" i="4"/>
  <c r="C101" i="4"/>
  <c r="C88" i="4"/>
  <c r="C96" i="4"/>
  <c r="D201" i="2"/>
  <c r="L80" i="4"/>
  <c r="L83" i="4"/>
  <c r="B227" i="2" s="1"/>
  <c r="K79" i="4"/>
  <c r="K98" i="4"/>
  <c r="I79" i="4"/>
  <c r="C98" i="4"/>
  <c r="I91" i="4"/>
  <c r="H79" i="4"/>
  <c r="C226" i="2" s="1"/>
  <c r="J79" i="4"/>
  <c r="G80" i="4"/>
  <c r="G79" i="4"/>
  <c r="C225" i="2" s="1"/>
  <c r="F80" i="4"/>
  <c r="F79" i="4"/>
  <c r="C224" i="2" s="1"/>
  <c r="E79" i="4"/>
  <c r="C223" i="2" s="1"/>
  <c r="E80" i="4"/>
  <c r="C79" i="4"/>
  <c r="C221" i="2" s="1"/>
  <c r="E84" i="4"/>
  <c r="D79" i="4"/>
  <c r="C222" i="2" s="1"/>
  <c r="D80" i="4"/>
  <c r="L85" i="4" l="1"/>
  <c r="B207" i="2"/>
  <c r="H95" i="4"/>
  <c r="B236" i="2"/>
  <c r="H85" i="4"/>
  <c r="B206" i="2"/>
  <c r="G95" i="4"/>
  <c r="B235" i="2"/>
  <c r="G85" i="4"/>
  <c r="B205" i="2"/>
  <c r="F95" i="4"/>
  <c r="B234" i="2"/>
  <c r="F85" i="4"/>
  <c r="B204" i="2"/>
  <c r="E95" i="4"/>
  <c r="B233" i="2"/>
  <c r="E85" i="4"/>
  <c r="B203" i="2"/>
  <c r="D95" i="4"/>
  <c r="B232" i="2"/>
  <c r="D85" i="4"/>
  <c r="B202" i="2"/>
  <c r="C85" i="4"/>
  <c r="B201" i="2"/>
</calcChain>
</file>

<file path=xl/sharedStrings.xml><?xml version="1.0" encoding="utf-8"?>
<sst xmlns="http://schemas.openxmlformats.org/spreadsheetml/2006/main" count="494" uniqueCount="298">
  <si>
    <t>Nro</t>
  </si>
  <si>
    <t>Rubro</t>
  </si>
  <si>
    <t>2019</t>
  </si>
  <si>
    <t>2020</t>
  </si>
  <si>
    <t>2021</t>
  </si>
  <si>
    <t>2022</t>
  </si>
  <si>
    <t>2023</t>
  </si>
  <si>
    <t>2024</t>
  </si>
  <si>
    <t>2025-Q1</t>
  </si>
  <si>
    <t>2025-H1</t>
  </si>
  <si>
    <t>2025-Q3</t>
  </si>
  <si>
    <t>2025 (ENE-SEP)</t>
  </si>
  <si>
    <t>UNIDAD</t>
  </si>
  <si>
    <t>MILES</t>
  </si>
  <si>
    <t>MILLONES</t>
  </si>
  <si>
    <t>CIERRE</t>
  </si>
  <si>
    <t>31/12/2019</t>
  </si>
  <si>
    <t>31/12/2020</t>
  </si>
  <si>
    <t>31/12/2021</t>
  </si>
  <si>
    <t>31/12/2022</t>
  </si>
  <si>
    <t>31/12/2023</t>
  </si>
  <si>
    <t>31/12/2024</t>
  </si>
  <si>
    <t>31/03/2025</t>
  </si>
  <si>
    <t>30/06/2025</t>
  </si>
  <si>
    <t>30/09/2025</t>
  </si>
  <si>
    <t>1122500</t>
  </si>
  <si>
    <t>EFECTIVO Y EQUIVALENTES A EFECTIVO</t>
  </si>
  <si>
    <t>1122300</t>
  </si>
  <si>
    <t>ACTIVOS FINANCIEROS CORRIENTES</t>
  </si>
  <si>
    <t>1121999</t>
  </si>
  <si>
    <t>CUENTAS POR COBRAR CORRIENTES</t>
  </si>
  <si>
    <t>1122400</t>
  </si>
  <si>
    <t>OTROS ACTIVOS NO FINANCIEROS CORRIENTES</t>
  </si>
  <si>
    <t>1120100</t>
  </si>
  <si>
    <t>INVENTARIOS CORRIENTES</t>
  </si>
  <si>
    <t>1139999</t>
  </si>
  <si>
    <t>ACTIVO CORRIENTE</t>
  </si>
  <si>
    <t>1112400</t>
  </si>
  <si>
    <t>ACTIVOS FINANCIEROS NO CORRIENTES</t>
  </si>
  <si>
    <t>1111999</t>
  </si>
  <si>
    <t>CUENTAS POR COBRAR NO CORRIENTES</t>
  </si>
  <si>
    <t>1110100</t>
  </si>
  <si>
    <t>PROPIEDADES PLANTAS Y EQUIPOS</t>
  </si>
  <si>
    <t>1112500</t>
  </si>
  <si>
    <t>OTROS ACTIVOS NO FINANCIEROS NO CORRIENTES</t>
  </si>
  <si>
    <t>1110200</t>
  </si>
  <si>
    <t>ACTIVOS INTANGIBLES</t>
  </si>
  <si>
    <t>1119999</t>
  </si>
  <si>
    <t>ACTIVO NO CORRIENTE</t>
  </si>
  <si>
    <t>1999999</t>
  </si>
  <si>
    <t>TOTAL DEL ACTIVO</t>
  </si>
  <si>
    <t>2210999</t>
  </si>
  <si>
    <t>CAPITAL</t>
  </si>
  <si>
    <t>2210300</t>
  </si>
  <si>
    <t>AJUSTE DE CAPITAL</t>
  </si>
  <si>
    <t>2210500</t>
  </si>
  <si>
    <t>APORTES NO CAPITALIZADOS O CONTRIBUCIONES DE CAPITAL</t>
  </si>
  <si>
    <t>2210900</t>
  </si>
  <si>
    <t>OTROS CONCEPTOS DEL CAPITAL</t>
  </si>
  <si>
    <t>2211100</t>
  </si>
  <si>
    <t>RESERVA LEGAL</t>
  </si>
  <si>
    <t>2211200</t>
  </si>
  <si>
    <t>OTRAS RESERVAS</t>
  </si>
  <si>
    <t>2211300</t>
  </si>
  <si>
    <t>INTERESES NO CONTROLANTES</t>
  </si>
  <si>
    <t>2212999</t>
  </si>
  <si>
    <t>RESULTADOS NO ASIGNADOS</t>
  </si>
  <si>
    <t>2213999</t>
  </si>
  <si>
    <t>RESULTADOS INTEGRALES</t>
  </si>
  <si>
    <t>2299999</t>
  </si>
  <si>
    <t>TOTAL PATRIMONIO NETO</t>
  </si>
  <si>
    <t>2322200</t>
  </si>
  <si>
    <t>PASIVOS FINANCIEROS CORRIENTES</t>
  </si>
  <si>
    <t>2321999</t>
  </si>
  <si>
    <t>CUENTAS POR PAGAR CORRIENTES</t>
  </si>
  <si>
    <t>2322100</t>
  </si>
  <si>
    <t>PASIVOS POR IMPUESTOS CORRIENTES</t>
  </si>
  <si>
    <t>2322300</t>
  </si>
  <si>
    <t>OTROS PASIVOS NO FINANCIEROS CORRIENTES</t>
  </si>
  <si>
    <t>2339999</t>
  </si>
  <si>
    <t>PASIVO CORRIENTE</t>
  </si>
  <si>
    <t>2312300</t>
  </si>
  <si>
    <t>PASIVOS FINANCIEROS NO CORRIENTES</t>
  </si>
  <si>
    <t>2311999</t>
  </si>
  <si>
    <t>CUENTAS POR PAGAR NO CORRIENTES</t>
  </si>
  <si>
    <t>2312200</t>
  </si>
  <si>
    <t>PASIVOS POR IMPUESTOS NO CORRIENTES</t>
  </si>
  <si>
    <t>2312400</t>
  </si>
  <si>
    <t>OTROS PASIVOS NO FINANCIEROS NO CORRIENTES</t>
  </si>
  <si>
    <t>2319999</t>
  </si>
  <si>
    <t>PASIVO NO CORRIENTE</t>
  </si>
  <si>
    <t>2399999</t>
  </si>
  <si>
    <t>TOTAL DEL PASIVO</t>
  </si>
  <si>
    <t>2999999</t>
  </si>
  <si>
    <t>TOTAL DEL PASIVO Y PATRIMONIO NETO</t>
  </si>
  <si>
    <t>3000100</t>
  </si>
  <si>
    <t>INGRESOS DE ACTIVIDADES ORDINARIAS</t>
  </si>
  <si>
    <t>3000200</t>
  </si>
  <si>
    <t>COSTO DE VENTAS Y/O SERVICIOS</t>
  </si>
  <si>
    <t>3009999</t>
  </si>
  <si>
    <t>GANANCIA (PERDIDA) BRUTA</t>
  </si>
  <si>
    <t>3011301</t>
  </si>
  <si>
    <t>HONORARIOS A DIRECTORES Y SINDICOS</t>
  </si>
  <si>
    <t>3011300</t>
  </si>
  <si>
    <t>OTROS GASTOS DE ADMINISTRACION</t>
  </si>
  <si>
    <t>3011200</t>
  </si>
  <si>
    <t>GASTOS DE COMERCIALIZACION Y/O DISTRIBUCION</t>
  </si>
  <si>
    <t>3011400</t>
  </si>
  <si>
    <t>OTROS GASTOS OPERATIVOS</t>
  </si>
  <si>
    <t>3011100</t>
  </si>
  <si>
    <t>OTROS INGRESOS</t>
  </si>
  <si>
    <t>3011600</t>
  </si>
  <si>
    <t>DEPRECIACIONES Y AMORTIZACIONES</t>
  </si>
  <si>
    <t>3019999</t>
  </si>
  <si>
    <t>GANANCIA (PERDIDA) DE ACTIVIDADES OPERATIVAS</t>
  </si>
  <si>
    <t>3021400</t>
  </si>
  <si>
    <t>INGRESOS FINANCIEROS</t>
  </si>
  <si>
    <t>3021500</t>
  </si>
  <si>
    <t>COSTOS FINANCIEROS</t>
  </si>
  <si>
    <t>3021800</t>
  </si>
  <si>
    <t>RECPAM</t>
  </si>
  <si>
    <t>3021900</t>
  </si>
  <si>
    <t>OTROS RESULTADOS</t>
  </si>
  <si>
    <t>3029999</t>
  </si>
  <si>
    <t>GANANCIA (PERDIDA) ANTES DE IMPUESTOS</t>
  </si>
  <si>
    <t>3031100</t>
  </si>
  <si>
    <t>INGRESO (GASTO) POR IMPUESTOS A LAS GANANCIAS</t>
  </si>
  <si>
    <t>3032000</t>
  </si>
  <si>
    <t>GANANCIA (PERDIDA)  DEL PERIODO / EJERCICIO OPERACIONES CONTINUADAS</t>
  </si>
  <si>
    <t>3041000</t>
  </si>
  <si>
    <t>GANANCIA (PERDIDA)  DEL PERIODO / EJERCICIO OPERACIONES DISCONTINUADAS</t>
  </si>
  <si>
    <t>3049999</t>
  </si>
  <si>
    <t>GANANCIA (PERDIDA)  DEL PERIODO / EJERCICIO</t>
  </si>
  <si>
    <t>3061999</t>
  </si>
  <si>
    <t>OTRO RESULTADO INTEGRAL DEL EJERCICIO / PERIODO</t>
  </si>
  <si>
    <t>3099999</t>
  </si>
  <si>
    <t>RESULTADO INTEGRAL TOTAL  DEL EJERCICIO / PERIODO</t>
  </si>
  <si>
    <t>3241100</t>
  </si>
  <si>
    <t>TOTAL CAMBIOS EN ACTIVOS Y PASIVOS OPERATIVOS</t>
  </si>
  <si>
    <t>3241200</t>
  </si>
  <si>
    <t>TOTAL DE ACTIVIDADES DE INVERSION</t>
  </si>
  <si>
    <t>3241300</t>
  </si>
  <si>
    <t>TOTAL DE ACTIVIDADES DE FINANCIACION</t>
  </si>
  <si>
    <t>3240000</t>
  </si>
  <si>
    <t>INCREMENTO (DISMINUCION) NETA DE EFECTIVO Y EQUIVALENTES</t>
  </si>
  <si>
    <t>8000000</t>
  </si>
  <si>
    <t>GANANCIA (PERDIDA) BASICA POR ACCION</t>
  </si>
  <si>
    <t>8000001</t>
  </si>
  <si>
    <t>GANANCIAS (PERDIDA) DILUIDA POR ACCION</t>
  </si>
  <si>
    <t>8000002</t>
  </si>
  <si>
    <t>TOTAL PATRIMONIO NETO DEL EJERCICIO ANTERIOR</t>
  </si>
  <si>
    <t>8000003</t>
  </si>
  <si>
    <t>EBIT</t>
  </si>
  <si>
    <t>8000004</t>
  </si>
  <si>
    <t>EBITDA</t>
  </si>
  <si>
    <t>8000005</t>
  </si>
  <si>
    <t>CAPITAL DE TRABAJO</t>
  </si>
  <si>
    <t>8000006</t>
  </si>
  <si>
    <t>LIQUIDEZ</t>
  </si>
  <si>
    <t>8000007</t>
  </si>
  <si>
    <t>SOLVENCIA</t>
  </si>
  <si>
    <t>8000008</t>
  </si>
  <si>
    <t>INMOVILIZACION DEL CAPITAL</t>
  </si>
  <si>
    <t>8000009</t>
  </si>
  <si>
    <t>RENTABILIDAD PATRIMONIO NETO</t>
  </si>
  <si>
    <t>8000010</t>
  </si>
  <si>
    <t>RENTABILIDAD DEL ACTIVO</t>
  </si>
  <si>
    <t>8000011</t>
  </si>
  <si>
    <t>ENDEUDAMIENTO</t>
  </si>
  <si>
    <t>8000012</t>
  </si>
  <si>
    <t>ENDEUDAMIENTO A CORTO PLAZO</t>
  </si>
  <si>
    <t>8000013</t>
  </si>
  <si>
    <t>APALANCAMIENTO</t>
  </si>
  <si>
    <t>8000014</t>
  </si>
  <si>
    <t>MARGEN NETO / VENTAS</t>
  </si>
  <si>
    <t>8000015</t>
  </si>
  <si>
    <t>DEUDA FINANCIERA / EBITDA</t>
  </si>
  <si>
    <t>8000016</t>
  </si>
  <si>
    <t>EBITDA / COSTOS FINANCIEROS</t>
  </si>
  <si>
    <t>8000017</t>
  </si>
  <si>
    <t>ANALISIS DU-PONT</t>
  </si>
  <si>
    <t>8000027</t>
  </si>
  <si>
    <t>PRUEBA ACIDA</t>
  </si>
  <si>
    <t>-</t>
  </si>
  <si>
    <t>8000028</t>
  </si>
  <si>
    <t>COBERTURA DE GASTOS FINANCIEROS</t>
  </si>
  <si>
    <t>8000029</t>
  </si>
  <si>
    <t>ROTACION DE ACTIVOS</t>
  </si>
  <si>
    <t>AÑO</t>
  </si>
  <si>
    <t>RESULTADO DEL EJERCICIO</t>
  </si>
  <si>
    <t>$ 3.677.373,09</t>
  </si>
  <si>
    <t>-$ 4.770,44</t>
  </si>
  <si>
    <t>$ 3.665.017,05</t>
  </si>
  <si>
    <t>$ 132.337,28</t>
  </si>
  <si>
    <t>$ 3.838.799,81</t>
  </si>
  <si>
    <t>$ 320.909,41</t>
  </si>
  <si>
    <t>$ 3.744.387,00</t>
  </si>
  <si>
    <t>$ 292.628,51</t>
  </si>
  <si>
    <t>$ 4.498.230,08</t>
  </si>
  <si>
    <t>$ 69.193,23</t>
  </si>
  <si>
    <t>$ 3.766.056,70</t>
  </si>
  <si>
    <t>$ 376.808,62</t>
  </si>
  <si>
    <t>$ 3.865.833,58</t>
  </si>
  <si>
    <t>$ 53.483,82</t>
  </si>
  <si>
    <t>$ 3.971.120,60</t>
  </si>
  <si>
    <t>$ 62.079,39</t>
  </si>
  <si>
    <t>$ 4.213.716,00</t>
  </si>
  <si>
    <t>$ 97.772,00</t>
  </si>
  <si>
    <t>$ 156.355,00</t>
  </si>
  <si>
    <t>TOTAL DEL PAS</t>
  </si>
  <si>
    <t>$ 2.687.116,54</t>
  </si>
  <si>
    <t>$ 2.602.136,03</t>
  </si>
  <si>
    <t>$ 2.665.014,15</t>
  </si>
  <si>
    <t>$ 2.444.700,93</t>
  </si>
  <si>
    <t>$ 3.002.846,98</t>
  </si>
  <si>
    <t>$ 2.369.954,20</t>
  </si>
  <si>
    <t>$ 2.682.999,00</t>
  </si>
  <si>
    <t>Período</t>
  </si>
  <si>
    <t>Pandemia</t>
  </si>
  <si>
    <t>Recesion</t>
  </si>
  <si>
    <t>graficos</t>
  </si>
  <si>
    <t>liquidez</t>
  </si>
  <si>
    <t>prueba acida</t>
  </si>
  <si>
    <t>ROA</t>
  </si>
  <si>
    <t>ROE</t>
  </si>
  <si>
    <t>variacion ventas</t>
  </si>
  <si>
    <t>variacion utilidad bruta</t>
  </si>
  <si>
    <t>activos</t>
  </si>
  <si>
    <t>pasivos</t>
  </si>
  <si>
    <t>ARCOR</t>
  </si>
  <si>
    <t>INDEC</t>
  </si>
  <si>
    <t>Actividad operativa</t>
  </si>
  <si>
    <t>Actividad de inversion</t>
  </si>
  <si>
    <t>Actividad de financiacion</t>
  </si>
  <si>
    <t>Variacion del Efectivo y equivalentes</t>
  </si>
  <si>
    <t>Tabla de Rentabilidad</t>
  </si>
  <si>
    <t>Año</t>
  </si>
  <si>
    <t>Margen EBITDA</t>
  </si>
  <si>
    <t>Tabla de Liquidez y Capital de Trabajo</t>
  </si>
  <si>
    <t>Liquidez</t>
  </si>
  <si>
    <t>Prueba Ácida</t>
  </si>
  <si>
    <t>Capital de Trabajo</t>
  </si>
  <si>
    <t>Tabla de Endeudamiento y Solvencia</t>
  </si>
  <si>
    <t>Endeudamiento</t>
  </si>
  <si>
    <t>Solvencia</t>
  </si>
  <si>
    <t>Deuda Financiera / EBITDA</t>
  </si>
  <si>
    <t>Tabla de Variaciones Patrimoniales y Actividad</t>
  </si>
  <si>
    <t>Variación % Ventas</t>
  </si>
  <si>
    <t>Variación % Utilidad Bruta</t>
  </si>
  <si>
    <t>Rotación de Activos</t>
  </si>
  <si>
    <t>INDEC - Ventas Supermercados</t>
  </si>
  <si>
    <t xml:space="preserve">RESOLUCIÓN TÉCNICA N° 6  
"ESTADOS CONTABLES EN MONEDA HOMOGENEA" 
ÍNDICE DEFINIDO POR LA RESOLUCIÓN DE JG 539/18                    
</t>
  </si>
  <si>
    <t>MES</t>
  </si>
  <si>
    <t>IPC NACIONAL EMPALME IPIM</t>
  </si>
  <si>
    <t>*</t>
  </si>
  <si>
    <t>*   Teniendo en cuenta el Calendario de difusión que publica el INDEC en su página WEB, el Índice de precios al consumidor con cobertura nacional del mes de abril/26 , será públicado en la Web de FACPCE el día 15/05/2026.</t>
  </si>
  <si>
    <t>UNIDAD DEL BALANCE ORIGINAL</t>
  </si>
  <si>
    <t>Ajuste de unidad - Expongo todo en MILLONES</t>
  </si>
  <si>
    <t>ÍNDICE DE CIERRE - FACPCE</t>
  </si>
  <si>
    <t>AXI AL 30/09/2025</t>
  </si>
  <si>
    <t>GANANCIA (PÉRDIDA) BRUTA</t>
  </si>
  <si>
    <t>HONORARIOS A DIRECTORES Y SÍNDICOS</t>
  </si>
  <si>
    <t>OTROS GASTOS DE ADMINISTRACIÓN</t>
  </si>
  <si>
    <t>GASTOS DE COMERCIALIZACIÓN Y/O DISTRIBUCION</t>
  </si>
  <si>
    <t>GANANCIA (PÉRDIDA) DE ACTIVIDADES OPERATIVAS</t>
  </si>
  <si>
    <t>GANANCIA (PÉRDIDA) ANTES DE IMPUESTOS</t>
  </si>
  <si>
    <t>GANANCIA (PÉRDIDA)  DEL PERIODO / EJERCICIO operaciónES CONTINUADAS</t>
  </si>
  <si>
    <t>GANANCIA (PÉRDIDA)  DEL PERIODO / EJERCICIO operaciónES DISCONTINUADAS</t>
  </si>
  <si>
    <t>GANANCIA (PÉRDIDA)  DEL PERIODO / EJERCICIO</t>
  </si>
  <si>
    <t>TOTAL DE ACTIVIDADES DE INVERSIÓN</t>
  </si>
  <si>
    <t>TOTAL DE ACTIVIDADES DE FINANCIACIÓN</t>
  </si>
  <si>
    <t>INCREMENTO (DISMINUCIÓN) NETA DE EFECTIVO Y EQUIVALENTES</t>
  </si>
  <si>
    <t>GANANCIA (PÉRDIDA) BASICA POR ACCION</t>
  </si>
  <si>
    <t>GANANCIAS (PÉRDIDA) DILUIDA POR ACCION</t>
  </si>
  <si>
    <t>INDICADORES</t>
  </si>
  <si>
    <t>VARIACIÓN % VENTAS</t>
  </si>
  <si>
    <t>VARIACIÓN % UTILIDAD BRUTA</t>
  </si>
  <si>
    <t>ROTACIÓN DE PASIVOS</t>
  </si>
  <si>
    <t>MARGEN BRUTO</t>
  </si>
  <si>
    <t>LIQUIDEZ (AC / PC)</t>
  </si>
  <si>
    <t>SOLVENCIA (PN / PAS)</t>
  </si>
  <si>
    <t>INMOVILIZACIÓN DEL CAPITAL (ANC / TA)</t>
  </si>
  <si>
    <t>RENTABILIDAD PATRIMONIO NETO - ROI</t>
  </si>
  <si>
    <t>RENTABILIDAD DEL ACTIVO - ROA</t>
  </si>
  <si>
    <t>ENDEUDAMIENTO (PAS / PN)</t>
  </si>
  <si>
    <t>ENDEUDAMIENTO A CORTO PLAZO (PC / PN)</t>
  </si>
  <si>
    <t>ANÁLISIS DU-PONT (ROE)</t>
  </si>
  <si>
    <t>PRUEBA ÁCIDA ((AC-INV)/PC)</t>
  </si>
  <si>
    <t>ROTACIÓN DE ACTIVOS (VENTAS / TA)</t>
  </si>
  <si>
    <t>CAPITAL DE TRABAJO (AC - PC)</t>
  </si>
  <si>
    <t>INDEC - VENTAS SUPERMERCADOS (PRECIOS CONSTANTES)</t>
  </si>
  <si>
    <t>DIFERENCIA ARCOR vs INDEC (VAR% VENTAS - INDEC)</t>
  </si>
  <si>
    <t>MARGEN EBITDA (EBITDA / VENTAS)</t>
  </si>
  <si>
    <t>DEUDA NETA / EBITDA</t>
  </si>
  <si>
    <t>% DEUDA FINANCIERA A LARGO PLAZO</t>
  </si>
  <si>
    <t>OPERATING CASH FLOW RATIO (OCF / Pasivo Corriente)</t>
  </si>
  <si>
    <t>RAZÓN DE GENERACIÓN PROPIA DE EFECTIVO (OPERAT / OPERATIVAS+ FINANCIACION)</t>
  </si>
  <si>
    <t xml:space="preserve">RAZÓN DE GENERACIÓN DE EFECTIVO SOBRE VENTAS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</si>
</sst>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&quot;$&quot;\ * #,##0.00_-;\-&quot;$&quot;\ * #,##0.00_-;_-&quot;$&quot;\ * &quot;-&quot;??_-;_-@"/>
    <numFmt numFmtId="165" formatCode="&quot;$&quot;#,##0"/>
    <numFmt numFmtId="166" formatCode="0.00&quot;x&quot;"/>
    <numFmt numFmtId="167" formatCode="\$#,##0"/>
    <numFmt numFmtId="168" formatCode="_-* #,##0.0000_-;\-* #,##0.0000_-;_-* &quot;-&quot;??_-;_-@"/>
    <numFmt numFmtId="169" formatCode="0.0"/>
    <numFmt numFmtId="170" formatCode="0.0000"/>
    <numFmt numFmtId="171" formatCode="0.0%"/>
    <numFmt numFmtId="172" formatCode="0.000%"/>
  </numFmts>
  <fonts count="29">
    <font>
      <sz val="11"/>
      <color theme="1"/>
      <name val="Calibri"/>
      <scheme val="minor"/>
    </font>
    <font>
      <b/>
      <sz val="11"/>
      <color rgb="FFFFFFFF"/>
      <name val="Calibri"/>
    </font>
    <font>
      <b/>
      <i/>
      <sz val="10"/>
      <color rgb="FF2F5496"/>
      <name val="Calibri"/>
    </font>
    <font>
      <b/>
      <i/>
      <sz val="9"/>
      <color rgb="FF375623"/>
      <name val="Calibri"/>
    </font>
    <font>
      <i/>
      <sz val="9"/>
      <color rgb="FF375623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</font>
    <font>
      <b/>
      <i/>
      <sz val="9"/>
      <color rgb="FFC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9"/>
      <color rgb="FFFFFFFF"/>
      <name val="Verdana"/>
    </font>
    <font>
      <b/>
      <sz val="9"/>
      <color theme="1"/>
      <name val="Verdana"/>
    </font>
    <font>
      <sz val="9"/>
      <color rgb="FF000000"/>
      <name val="Verdana"/>
    </font>
    <font>
      <sz val="13"/>
      <color theme="1"/>
      <name val="Calibri"/>
      <scheme val="minor"/>
    </font>
    <font>
      <b/>
      <sz val="14"/>
      <color theme="1"/>
      <name val="Montserrat"/>
    </font>
    <font>
      <b/>
      <sz val="11"/>
      <color rgb="FFFFFFFF"/>
      <name val="Montserrat"/>
    </font>
    <font>
      <sz val="10"/>
      <color theme="1"/>
      <name val="Roboto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Arial"/>
    </font>
    <font>
      <sz val="12"/>
      <color rgb="FF000000"/>
      <name val="Calibri"/>
    </font>
    <font>
      <b/>
      <sz val="8"/>
      <color theme="1"/>
      <name val="Arial"/>
    </font>
    <font>
      <sz val="12"/>
      <color theme="1"/>
      <name val="Arial"/>
    </font>
    <font>
      <u/>
      <sz val="9"/>
      <color theme="10"/>
      <name val="Calibri"/>
    </font>
    <font>
      <sz val="10"/>
      <color theme="1"/>
      <name val="Calibri"/>
    </font>
    <font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00000"/>
        <bgColor rgb="FFC00000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5" fillId="0" borderId="0" xfId="0" applyNumberFormat="1" applyFont="1"/>
    <xf numFmtId="164" fontId="5" fillId="6" borderId="1" xfId="0" applyNumberFormat="1" applyFont="1" applyFill="1" applyBorder="1"/>
    <xf numFmtId="4" fontId="5" fillId="0" borderId="0" xfId="0" applyNumberFormat="1" applyFont="1"/>
    <xf numFmtId="4" fontId="5" fillId="6" borderId="1" xfId="0" applyNumberFormat="1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2" xfId="0" applyFont="1" applyFill="1" applyBorder="1"/>
    <xf numFmtId="0" fontId="11" fillId="8" borderId="4" xfId="0" applyFont="1" applyFill="1" applyBorder="1" applyAlignment="1">
      <alignment horizontal="center"/>
    </xf>
    <xf numFmtId="4" fontId="9" fillId="8" borderId="5" xfId="0" applyNumberFormat="1" applyFont="1" applyFill="1" applyBorder="1"/>
    <xf numFmtId="4" fontId="9" fillId="8" borderId="2" xfId="0" applyNumberFormat="1" applyFont="1" applyFill="1" applyBorder="1" applyAlignment="1">
      <alignment horizontal="right"/>
    </xf>
    <xf numFmtId="0" fontId="11" fillId="0" borderId="4" xfId="0" applyFont="1" applyBorder="1" applyAlignment="1">
      <alignment horizontal="center"/>
    </xf>
    <xf numFmtId="4" fontId="9" fillId="0" borderId="5" xfId="0" applyNumberFormat="1" applyFont="1" applyBorder="1"/>
    <xf numFmtId="4" fontId="9" fillId="0" borderId="2" xfId="0" applyNumberFormat="1" applyFont="1" applyBorder="1" applyAlignment="1">
      <alignment horizontal="right"/>
    </xf>
    <xf numFmtId="0" fontId="12" fillId="9" borderId="6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4" fontId="14" fillId="0" borderId="7" xfId="0" applyNumberFormat="1" applyFont="1" applyBorder="1" applyAlignment="1">
      <alignment horizontal="right"/>
    </xf>
    <xf numFmtId="0" fontId="13" fillId="0" borderId="8" xfId="0" applyFont="1" applyBorder="1" applyAlignment="1">
      <alignment horizontal="center"/>
    </xf>
    <xf numFmtId="4" fontId="14" fillId="0" borderId="9" xfId="0" applyNumberFormat="1" applyFont="1" applyBorder="1" applyAlignment="1">
      <alignment horizontal="right"/>
    </xf>
    <xf numFmtId="0" fontId="1" fillId="9" borderId="6" xfId="0" applyFont="1" applyFill="1" applyBorder="1"/>
    <xf numFmtId="0" fontId="1" fillId="9" borderId="7" xfId="0" applyFont="1" applyFill="1" applyBorder="1"/>
    <xf numFmtId="4" fontId="9" fillId="0" borderId="6" xfId="0" applyNumberFormat="1" applyFont="1" applyBorder="1" applyAlignment="1">
      <alignment horizontal="right"/>
    </xf>
    <xf numFmtId="4" fontId="9" fillId="0" borderId="7" xfId="0" applyNumberFormat="1" applyFont="1" applyBorder="1" applyAlignment="1">
      <alignment horizontal="right"/>
    </xf>
    <xf numFmtId="4" fontId="9" fillId="0" borderId="8" xfId="0" applyNumberFormat="1" applyFont="1" applyBorder="1" applyAlignment="1">
      <alignment horizontal="right"/>
    </xf>
    <xf numFmtId="4" fontId="9" fillId="0" borderId="9" xfId="0" applyNumberFormat="1" applyFont="1" applyBorder="1" applyAlignment="1">
      <alignment horizontal="right"/>
    </xf>
    <xf numFmtId="166" fontId="6" fillId="0" borderId="0" xfId="0" applyNumberFormat="1" applyFont="1"/>
    <xf numFmtId="3" fontId="6" fillId="0" borderId="0" xfId="0" applyNumberFormat="1" applyFont="1"/>
    <xf numFmtId="0" fontId="15" fillId="0" borderId="0" xfId="0" applyFont="1"/>
    <xf numFmtId="10" fontId="6" fillId="0" borderId="0" xfId="0" applyNumberFormat="1" applyFont="1"/>
    <xf numFmtId="0" fontId="6" fillId="0" borderId="0" xfId="0" applyFont="1" applyAlignment="1">
      <alignment horizontal="center"/>
    </xf>
    <xf numFmtId="166" fontId="5" fillId="0" borderId="10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  <xf numFmtId="10" fontId="18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2" fontId="18" fillId="0" borderId="0" xfId="0" applyNumberFormat="1" applyFont="1" applyAlignment="1">
      <alignment horizontal="right"/>
    </xf>
    <xf numFmtId="167" fontId="18" fillId="0" borderId="0" xfId="0" applyNumberFormat="1" applyFont="1" applyAlignment="1">
      <alignment horizontal="right"/>
    </xf>
    <xf numFmtId="0" fontId="21" fillId="0" borderId="0" xfId="0" applyFont="1"/>
    <xf numFmtId="0" fontId="19" fillId="10" borderId="14" xfId="0" applyFont="1" applyFill="1" applyBorder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17" fontId="21" fillId="0" borderId="16" xfId="0" applyNumberFormat="1" applyFont="1" applyBorder="1" applyAlignment="1">
      <alignment horizontal="center" vertical="center" wrapText="1"/>
    </xf>
    <xf numFmtId="168" fontId="22" fillId="0" borderId="17" xfId="0" applyNumberFormat="1" applyFont="1" applyBorder="1" applyAlignment="1">
      <alignment horizontal="center"/>
    </xf>
    <xf numFmtId="17" fontId="21" fillId="0" borderId="18" xfId="0" applyNumberFormat="1" applyFont="1" applyBorder="1" applyAlignment="1">
      <alignment horizontal="center" vertical="center" wrapText="1"/>
    </xf>
    <xf numFmtId="168" fontId="22" fillId="0" borderId="19" xfId="0" applyNumberFormat="1" applyFont="1" applyBorder="1" applyAlignment="1">
      <alignment horizontal="center"/>
    </xf>
    <xf numFmtId="17" fontId="23" fillId="0" borderId="18" xfId="0" applyNumberFormat="1" applyFont="1" applyBorder="1" applyAlignment="1">
      <alignment horizontal="center"/>
    </xf>
    <xf numFmtId="17" fontId="23" fillId="0" borderId="20" xfId="0" applyNumberFormat="1" applyFont="1" applyBorder="1" applyAlignment="1">
      <alignment horizontal="center"/>
    </xf>
    <xf numFmtId="168" fontId="22" fillId="0" borderId="21" xfId="0" applyNumberFormat="1" applyFont="1" applyBorder="1" applyAlignment="1">
      <alignment horizontal="center"/>
    </xf>
    <xf numFmtId="169" fontId="24" fillId="0" borderId="0" xfId="0" applyNumberFormat="1" applyFont="1"/>
    <xf numFmtId="170" fontId="5" fillId="0" borderId="0" xfId="0" applyNumberFormat="1" applyFont="1"/>
    <xf numFmtId="170" fontId="24" fillId="0" borderId="0" xfId="0" applyNumberFormat="1" applyFont="1"/>
    <xf numFmtId="170" fontId="25" fillId="0" borderId="0" xfId="0" applyNumberFormat="1" applyFont="1" applyAlignment="1">
      <alignment horizontal="right"/>
    </xf>
    <xf numFmtId="171" fontId="5" fillId="0" borderId="0" xfId="0" applyNumberFormat="1" applyFont="1"/>
    <xf numFmtId="172" fontId="5" fillId="0" borderId="0" xfId="0" applyNumberFormat="1" applyFont="1"/>
    <xf numFmtId="2" fontId="5" fillId="0" borderId="0" xfId="0" applyNumberFormat="1" applyFont="1"/>
    <xf numFmtId="170" fontId="22" fillId="0" borderId="19" xfId="0" applyNumberFormat="1" applyFont="1" applyBorder="1" applyAlignment="1">
      <alignment horizontal="center"/>
    </xf>
    <xf numFmtId="0" fontId="26" fillId="0" borderId="0" xfId="0" applyFont="1"/>
    <xf numFmtId="4" fontId="1" fillId="2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4" fontId="2" fillId="4" borderId="1" xfId="0" applyNumberFormat="1" applyFont="1" applyFill="1" applyBorder="1"/>
    <xf numFmtId="168" fontId="2" fillId="4" borderId="1" xfId="0" applyNumberFormat="1" applyFont="1" applyFill="1" applyBorder="1" applyAlignment="1">
      <alignment horizontal="center"/>
    </xf>
    <xf numFmtId="4" fontId="3" fillId="5" borderId="1" xfId="0" applyNumberFormat="1" applyFont="1" applyFill="1" applyBorder="1"/>
    <xf numFmtId="4" fontId="6" fillId="0" borderId="0" xfId="0" applyNumberFormat="1" applyFont="1"/>
    <xf numFmtId="0" fontId="5" fillId="0" borderId="1" xfId="0" applyFont="1" applyBorder="1"/>
    <xf numFmtId="4" fontId="27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10" fontId="5" fillId="0" borderId="10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10" fontId="5" fillId="0" borderId="0" xfId="0" applyNumberFormat="1" applyFont="1"/>
    <xf numFmtId="0" fontId="5" fillId="0" borderId="1" xfId="0" applyFont="1" applyBorder="1" applyAlignment="1">
      <alignment horizontal="center" vertical="center"/>
    </xf>
    <xf numFmtId="4" fontId="28" fillId="0" borderId="0" xfId="0" applyNumberFormat="1" applyFont="1" applyAlignment="1">
      <alignment horizontal="left"/>
    </xf>
    <xf numFmtId="10" fontId="9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4" fontId="5" fillId="0" borderId="10" xfId="0" applyNumberFormat="1" applyFont="1" applyBorder="1" applyAlignment="1">
      <alignment horizontal="center" vertical="center"/>
    </xf>
    <xf numFmtId="165" fontId="6" fillId="0" borderId="0" xfId="0" applyNumberFormat="1" applyFont="1"/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19" fillId="10" borderId="11" xfId="0" applyFont="1" applyFill="1" applyBorder="1" applyAlignment="1">
      <alignment horizontal="center" vertical="top" wrapText="1"/>
    </xf>
    <xf numFmtId="0" fontId="20" fillId="0" borderId="12" xfId="0" applyFont="1" applyBorder="1"/>
    <xf numFmtId="0" fontId="20" fillId="0" borderId="13" xfId="0" applyFont="1" applyBorder="1"/>
    <xf numFmtId="0" fontId="21" fillId="0" borderId="0" xfId="0" applyFont="1" applyAlignment="1">
      <alignment horizontal="left" vertical="top" wrapText="1"/>
    </xf>
    <xf numFmtId="4" fontId="27" fillId="12" borderId="2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2"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4618E"/>
          <bgColor rgb="FF34618E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4618E"/>
          <bgColor rgb="FF34618E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4618E"/>
          <bgColor rgb="FF34618E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4618E"/>
          <bgColor rgb="FF34618E"/>
        </patternFill>
      </fill>
    </dxf>
  </dxfs>
  <tableStyles count="4">
    <tableStyle name="cuadro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cuadros-style 2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uadros-style 3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cuadros-style 4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Verdana"/>
              </a:defRPr>
            </a:pPr>
            <a:r>
              <a:rPr sz="1400" b="0">
                <a:solidFill>
                  <a:srgbClr val="000000"/>
                </a:solidFill>
                <a:latin typeface="Verdana"/>
              </a:rPr>
              <a:t>Liquidez y prueba ácida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cuadros!$B$37</c:f>
              <c:strCache>
                <c:ptCount val="1"/>
                <c:pt idx="0">
                  <c:v>liquidez</c:v>
                </c:pt>
              </c:strCache>
            </c:strRef>
          </c:tx>
          <c:spPr>
            <a:solidFill>
              <a:srgbClr val="A4C2F4">
                <a:alpha val="90196"/>
              </a:srgbClr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E06-417D-A3DC-FEF79BE868C6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E06-417D-A3DC-FEF79BE868C6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E06-417D-A3DC-FEF79BE868C6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E06-417D-A3DC-FEF79BE868C6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5E06-417D-A3DC-FEF79BE868C6}"/>
              </c:ext>
            </c:extLst>
          </c:dPt>
          <c:cat>
            <c:strRef>
              <c:f>cuadros!$A$38:$A$44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cuadros!$B$38:$B$44</c:f>
              <c:numCache>
                <c:formatCode>0.00"x"</c:formatCode>
                <c:ptCount val="7"/>
                <c:pt idx="0">
                  <c:v>1.4248551373608709</c:v>
                </c:pt>
                <c:pt idx="1">
                  <c:v>1.5599926582333075</c:v>
                </c:pt>
                <c:pt idx="2">
                  <c:v>1.5513625354808633</c:v>
                </c:pt>
                <c:pt idx="3">
                  <c:v>1.2754061341093577</c:v>
                </c:pt>
                <c:pt idx="4">
                  <c:v>1.401032046128257</c:v>
                </c:pt>
                <c:pt idx="5">
                  <c:v>1.2413997156054866</c:v>
                </c:pt>
                <c:pt idx="6">
                  <c:v>1.5100909972318128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E06-417D-A3DC-FEF79BE868C6}"/>
            </c:ext>
          </c:extLst>
        </c:ser>
        <c:ser>
          <c:idx val="1"/>
          <c:order val="1"/>
          <c:tx>
            <c:strRef>
              <c:f>cuadros!$C$37</c:f>
              <c:strCache>
                <c:ptCount val="1"/>
                <c:pt idx="0">
                  <c:v>prueba acida</c:v>
                </c:pt>
              </c:strCache>
            </c:strRef>
          </c:tx>
          <c:spPr>
            <a:solidFill>
              <a:srgbClr val="FFE599"/>
            </a:solidFill>
            <a:ln cmpd="sng">
              <a:noFill/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5E06-417D-A3DC-FEF79BE868C6}"/>
              </c:ext>
            </c:extLst>
          </c:dPt>
          <c:cat>
            <c:strRef>
              <c:f>cuadros!$A$38:$A$44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cuadros!$C$38:$C$44</c:f>
              <c:numCache>
                <c:formatCode>0.00"x"</c:formatCode>
                <c:ptCount val="7"/>
                <c:pt idx="0">
                  <c:v>0.86724147735076673</c:v>
                </c:pt>
                <c:pt idx="1">
                  <c:v>0.93671238112235844</c:v>
                </c:pt>
                <c:pt idx="2">
                  <c:v>0.89863637543270247</c:v>
                </c:pt>
                <c:pt idx="3">
                  <c:v>0.65363326180230885</c:v>
                </c:pt>
                <c:pt idx="4">
                  <c:v>0.7964615696614471</c:v>
                </c:pt>
                <c:pt idx="5">
                  <c:v>0.68901738502438026</c:v>
                </c:pt>
                <c:pt idx="6">
                  <c:v>0.88741733679093848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5E06-417D-A3DC-FEF79BE86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5911975"/>
        <c:axId val="2004704570"/>
      </c:barChart>
      <c:catAx>
        <c:axId val="1485911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004704570"/>
        <c:crosses val="autoZero"/>
        <c:auto val="1"/>
        <c:lblAlgn val="ctr"/>
        <c:lblOffset val="100"/>
        <c:noMultiLvlLbl val="1"/>
      </c:catAx>
      <c:valAx>
        <c:axId val="2004704570"/>
        <c:scaling>
          <c:orientation val="minMax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>
                    <a:solidFill>
                      <a:srgbClr val="000000"/>
                    </a:solidFill>
                    <a:latin typeface="+mn-lt"/>
                  </a:rPr>
                  <a:t>veces</a:t>
                </a:r>
              </a:p>
            </c:rich>
          </c:tx>
          <c:overlay val="0"/>
        </c:title>
        <c:numFmt formatCode="0.00&quot;x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4859119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chemeClr val="dk1"/>
                </a:solidFill>
                <a:latin typeface="+mn-lt"/>
              </a:defRPr>
            </a:pPr>
            <a:r>
              <a:rPr sz="1400" b="0">
                <a:solidFill>
                  <a:schemeClr val="dk1"/>
                </a:solidFill>
                <a:latin typeface="+mn-lt"/>
              </a:rPr>
              <a:t>Capital de trabajo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9494135256798192"/>
          <c:y val="0.20518867924528289"/>
          <c:w val="0.76492103275311896"/>
          <c:h val="0.6439908120752178"/>
        </c:manualLayout>
      </c:layout>
      <c:areaChart>
        <c:grouping val="standard"/>
        <c:varyColors val="1"/>
        <c:ser>
          <c:idx val="0"/>
          <c:order val="0"/>
          <c:spPr>
            <a:solidFill>
              <a:srgbClr val="A4C2F4">
                <a:alpha val="30000"/>
              </a:srgbClr>
            </a:solidFill>
            <a:ln cmpd="sng">
              <a:solidFill>
                <a:srgbClr val="A4C2F4"/>
              </a:solidFill>
            </a:ln>
          </c:spPr>
          <c:cat>
            <c:strRef>
              <c:f>cuadros!$A$54:$A$60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cuadros!$B$54:$B$60</c:f>
              <c:numCache>
                <c:formatCode>#,##0</c:formatCode>
                <c:ptCount val="7"/>
                <c:pt idx="0">
                  <c:v>548400.81764794048</c:v>
                </c:pt>
                <c:pt idx="1">
                  <c:v>685197.41378090391</c:v>
                </c:pt>
                <c:pt idx="2">
                  <c:v>754066.84213245963</c:v>
                </c:pt>
                <c:pt idx="3">
                  <c:v>460777.17889168207</c:v>
                </c:pt>
                <c:pt idx="4">
                  <c:v>758011.7870115994</c:v>
                </c:pt>
                <c:pt idx="5">
                  <c:v>433365.59057619865</c:v>
                </c:pt>
                <c:pt idx="6">
                  <c:v>857035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2-42F1-B309-3D77422F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701512"/>
        <c:axId val="1683681516"/>
      </c:areaChart>
      <c:catAx>
        <c:axId val="400701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683681516"/>
        <c:crosses val="autoZero"/>
        <c:auto val="1"/>
        <c:lblAlgn val="ctr"/>
        <c:lblOffset val="100"/>
        <c:noMultiLvlLbl val="1"/>
      </c:catAx>
      <c:valAx>
        <c:axId val="1683681516"/>
        <c:scaling>
          <c:orientation val="minMax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pesos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40070151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r>
              <a:rPr sz="1400" b="0">
                <a:solidFill>
                  <a:srgbClr val="000000"/>
                </a:solidFill>
                <a:latin typeface="+mn-lt"/>
              </a:rPr>
              <a:t>Operating cash flow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3177339901477833"/>
          <c:y val="0.21641791044776118"/>
          <c:w val="0.83355098577269382"/>
          <c:h val="0.6635882728818181"/>
        </c:manualLayout>
      </c:layout>
      <c:areaChart>
        <c:grouping val="standard"/>
        <c:varyColors val="1"/>
        <c:ser>
          <c:idx val="0"/>
          <c:order val="0"/>
          <c:spPr>
            <a:solidFill>
              <a:srgbClr val="A4C2F4">
                <a:alpha val="30000"/>
              </a:srgbClr>
            </a:solidFill>
            <a:ln cmpd="sng">
              <a:solidFill>
                <a:srgbClr val="A4C2F4"/>
              </a:solidFill>
            </a:ln>
          </c:spPr>
          <c:cat>
            <c:strRef>
              <c:f>cuadros!$A$68:$A$74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cuadros!$B$68:$B$74</c:f>
              <c:numCache>
                <c:formatCode>0.00%</c:formatCode>
                <c:ptCount val="7"/>
                <c:pt idx="0">
                  <c:v>0.33615498620465134</c:v>
                </c:pt>
                <c:pt idx="1">
                  <c:v>0.43132612996179165</c:v>
                </c:pt>
                <c:pt idx="2">
                  <c:v>0.20468282192390719</c:v>
                </c:pt>
                <c:pt idx="3">
                  <c:v>0.25461321915657686</c:v>
                </c:pt>
                <c:pt idx="4">
                  <c:v>0.29406174717795419</c:v>
                </c:pt>
                <c:pt idx="5">
                  <c:v>0.14579329152339937</c:v>
                </c:pt>
                <c:pt idx="6">
                  <c:v>0.19865358141273365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3-4716-8D06-1F2848511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229901"/>
        <c:axId val="894170714"/>
      </c:areaChart>
      <c:catAx>
        <c:axId val="2098229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94170714"/>
        <c:crosses val="autoZero"/>
        <c:auto val="1"/>
        <c:lblAlgn val="ctr"/>
        <c:lblOffset val="100"/>
        <c:noMultiLvlLbl val="1"/>
      </c:catAx>
      <c:valAx>
        <c:axId val="894170714"/>
        <c:scaling>
          <c:orientation val="minMax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09822990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ROA, ROE y margen EBITDA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cuadros!$B$80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rgbClr val="A4C2F4">
                <a:alpha val="89999"/>
              </a:srgbClr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cuadros!$A$81:$A$87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cuadros!$B$81:$B$87</c:f>
              <c:numCache>
                <c:formatCode>0.00%</c:formatCode>
                <c:ptCount val="7"/>
                <c:pt idx="0">
                  <c:v>-1.297241515715029E-3</c:v>
                </c:pt>
                <c:pt idx="1">
                  <c:v>3.610823009734461E-2</c:v>
                </c:pt>
                <c:pt idx="2">
                  <c:v>8.359628689167313E-2</c:v>
                </c:pt>
                <c:pt idx="3">
                  <c:v>7.8151247102381763E-2</c:v>
                </c:pt>
                <c:pt idx="4">
                  <c:v>1.5382322902330704E-2</c:v>
                </c:pt>
                <c:pt idx="5">
                  <c:v>0.10005388974494994</c:v>
                </c:pt>
                <c:pt idx="6">
                  <c:v>3.7106202696147533E-2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A-4E9F-B81D-45D1E9A18FCB}"/>
            </c:ext>
          </c:extLst>
        </c:ser>
        <c:ser>
          <c:idx val="1"/>
          <c:order val="1"/>
          <c:tx>
            <c:strRef>
              <c:f>cuadros!$C$80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FFE599">
                <a:alpha val="89999"/>
              </a:srgbClr>
            </a:solidFill>
            <a:ln cmpd="sng">
              <a:solidFill>
                <a:srgbClr val="FFE599">
                  <a:alpha val="100000"/>
                </a:srgbClr>
              </a:solidFill>
              <a:prstDash val="solid"/>
            </a:ln>
          </c:spPr>
          <c:cat>
            <c:strRef>
              <c:f>cuadros!$A$81:$A$87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cuadros!$C$81:$C$87</c:f>
              <c:numCache>
                <c:formatCode>0.00%</c:formatCode>
                <c:ptCount val="7"/>
                <c:pt idx="0">
                  <c:v>-4.8173789125782636E-3</c:v>
                </c:pt>
                <c:pt idx="1">
                  <c:v>0.12450808407762883</c:v>
                </c:pt>
                <c:pt idx="2">
                  <c:v>0.27339694193843606</c:v>
                </c:pt>
                <c:pt idx="3">
                  <c:v>0.22515322668691271</c:v>
                </c:pt>
                <c:pt idx="4">
                  <c:v>4.6271238157105286E-2</c:v>
                </c:pt>
                <c:pt idx="5">
                  <c:v>0.26990039863261062</c:v>
                </c:pt>
                <c:pt idx="6">
                  <c:v>0.10214494253346634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A-4E9F-B81D-45D1E9A18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731462"/>
        <c:axId val="272335991"/>
      </c:areaChart>
      <c:catAx>
        <c:axId val="1518731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72335991"/>
        <c:crosses val="autoZero"/>
        <c:auto val="1"/>
        <c:lblAlgn val="ctr"/>
        <c:lblOffset val="100"/>
        <c:noMultiLvlLbl val="1"/>
      </c:catAx>
      <c:valAx>
        <c:axId val="272335991"/>
        <c:scaling>
          <c:orientation val="minMax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51873146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r>
              <a:rPr sz="1400" b="0">
                <a:solidFill>
                  <a:srgbClr val="000000"/>
                </a:solidFill>
                <a:latin typeface="+mn-lt"/>
              </a:rPr>
              <a:t>Variacion porcentual de ventas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4829396325459318"/>
          <c:y val="0.18069718077882552"/>
          <c:w val="0.81856744686743976"/>
          <c:h val="0.69921305564662939"/>
        </c:manualLayout>
      </c:layout>
      <c:areaChart>
        <c:grouping val="standard"/>
        <c:varyColors val="1"/>
        <c:ser>
          <c:idx val="0"/>
          <c:order val="0"/>
          <c:tx>
            <c:strRef>
              <c:f>cuadros!$B$97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A4C2F4">
                <a:alpha val="50000"/>
              </a:srgbClr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cuadros!$A$98:$A$103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cuadros!$B$98:$B$103</c:f>
              <c:numCache>
                <c:formatCode>0.00%</c:formatCode>
                <c:ptCount val="6"/>
                <c:pt idx="0">
                  <c:v>-3.4808761416332192E-2</c:v>
                </c:pt>
                <c:pt idx="1">
                  <c:v>0.12726081000215023</c:v>
                </c:pt>
                <c:pt idx="2">
                  <c:v>6.543865669584184E-2</c:v>
                </c:pt>
                <c:pt idx="3">
                  <c:v>-1.6092295069608433E-2</c:v>
                </c:pt>
                <c:pt idx="4">
                  <c:v>-5.539061949199723E-2</c:v>
                </c:pt>
                <c:pt idx="5">
                  <c:v>0.61031572918610799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F-40E6-90AB-E7CD6BDD4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481378"/>
        <c:axId val="96426990"/>
      </c:areaChart>
      <c:catAx>
        <c:axId val="1034481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96426990"/>
        <c:crosses val="autoZero"/>
        <c:auto val="1"/>
        <c:lblAlgn val="ctr"/>
        <c:lblOffset val="100"/>
        <c:noMultiLvlLbl val="1"/>
      </c:catAx>
      <c:valAx>
        <c:axId val="96426990"/>
        <c:scaling>
          <c:orientation val="minMax"/>
          <c:max val="0.6"/>
        </c:scaling>
        <c:delete val="0"/>
        <c:axPos val="l"/>
        <c:majorGridlines>
          <c:spPr>
            <a:ln>
              <a:solidFill>
                <a:srgbClr val="CFE2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Verdana"/>
              </a:defRPr>
            </a:pPr>
            <a:endParaRPr lang="es-AR"/>
          </a:p>
        </c:txPr>
        <c:crossAx val="103448137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r>
              <a:rPr sz="1400" b="0">
                <a:solidFill>
                  <a:srgbClr val="000000"/>
                </a:solidFill>
                <a:latin typeface="+mn-lt"/>
              </a:rPr>
              <a:t>Variación porcentual utilidad bruta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cuadros!$C$96:$C$97</c:f>
              <c:strCache>
                <c:ptCount val="2"/>
                <c:pt idx="0">
                  <c:v>variacion utilidad bruta</c:v>
                </c:pt>
                <c:pt idx="1">
                  <c:v>-</c:v>
                </c:pt>
              </c:strCache>
            </c:strRef>
          </c:tx>
          <c:spPr>
            <a:solidFill>
              <a:srgbClr val="A4C2F4">
                <a:alpha val="50000"/>
              </a:srgbClr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cuadros!$A$98:$A$103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cuadros!$C$98:$C$103</c:f>
              <c:numCache>
                <c:formatCode>0.00%</c:formatCode>
                <c:ptCount val="6"/>
                <c:pt idx="0">
                  <c:v>9.6148016793202756E-2</c:v>
                </c:pt>
                <c:pt idx="1">
                  <c:v>2.3957519814707937E-3</c:v>
                </c:pt>
                <c:pt idx="2">
                  <c:v>6.9867238671659365E-2</c:v>
                </c:pt>
                <c:pt idx="3">
                  <c:v>-5.7027776024874736E-2</c:v>
                </c:pt>
                <c:pt idx="4">
                  <c:v>-2.7801134652916861E-2</c:v>
                </c:pt>
                <c:pt idx="5">
                  <c:v>0.59714047767305478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A-47E8-8365-57C277FA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167385"/>
        <c:axId val="1290363266"/>
      </c:areaChart>
      <c:catAx>
        <c:axId val="1390167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290363266"/>
        <c:crosses val="autoZero"/>
        <c:auto val="1"/>
        <c:lblAlgn val="ctr"/>
        <c:lblOffset val="100"/>
        <c:noMultiLvlLbl val="1"/>
      </c:catAx>
      <c:valAx>
        <c:axId val="1290363266"/>
        <c:scaling>
          <c:orientation val="minMax"/>
          <c:max val="0.6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39016738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r>
              <a:rPr sz="1400" b="0">
                <a:solidFill>
                  <a:srgbClr val="000000"/>
                </a:solidFill>
                <a:latin typeface="+mn-lt"/>
              </a:rPr>
              <a:t>Nivel de endeudamiento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5378691347893438E-2"/>
          <c:y val="0.16945606694560669"/>
          <c:w val="0.86827087966167316"/>
          <c:h val="0.7089325729591569"/>
        </c:manualLayout>
      </c:layout>
      <c:areaChart>
        <c:grouping val="standard"/>
        <c:varyColors val="1"/>
        <c:ser>
          <c:idx val="0"/>
          <c:order val="0"/>
          <c:spPr>
            <a:solidFill>
              <a:srgbClr val="A4C2F4">
                <a:alpha val="30000"/>
              </a:srgbClr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numRef>
              <c:f>cuadros!$A$24:$A$30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cuadros!$B$24:$B$30</c:f>
              <c:numCache>
                <c:formatCode>#,##0.00</c:formatCode>
                <c:ptCount val="7"/>
                <c:pt idx="0">
                  <c:v>2.71</c:v>
                </c:pt>
                <c:pt idx="1">
                  <c:v>2.4500000000000002</c:v>
                </c:pt>
                <c:pt idx="2">
                  <c:v>2.27</c:v>
                </c:pt>
                <c:pt idx="3">
                  <c:v>1.88</c:v>
                </c:pt>
                <c:pt idx="4">
                  <c:v>2.0099999999999998</c:v>
                </c:pt>
                <c:pt idx="5">
                  <c:v>1.7</c:v>
                </c:pt>
                <c:pt idx="6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4-415D-ABB3-C41D925D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847464"/>
        <c:axId val="296352744"/>
      </c:areaChart>
      <c:catAx>
        <c:axId val="1209847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96352744"/>
        <c:crosses val="autoZero"/>
        <c:auto val="1"/>
        <c:lblAlgn val="ctr"/>
        <c:lblOffset val="100"/>
        <c:noMultiLvlLbl val="1"/>
      </c:catAx>
      <c:valAx>
        <c:axId val="296352744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20984746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r>
              <a:rPr sz="1400" b="0">
                <a:solidFill>
                  <a:srgbClr val="000000"/>
                </a:solidFill>
                <a:latin typeface="+mn-lt"/>
              </a:rPr>
              <a:t>Solvencia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5378691347893438E-2"/>
          <c:y val="0.16945606694560669"/>
          <c:w val="0.86827087966167316"/>
          <c:h val="0.7089325729591569"/>
        </c:manualLayout>
      </c:layout>
      <c:areaChart>
        <c:grouping val="standard"/>
        <c:varyColors val="1"/>
        <c:ser>
          <c:idx val="0"/>
          <c:order val="0"/>
          <c:spPr>
            <a:solidFill>
              <a:srgbClr val="A4C2F4">
                <a:alpha val="30000"/>
              </a:srgbClr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numRef>
              <c:f>cuadros!$A$24:$A$30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cuadros!$C$24:$C$30</c:f>
              <c:numCache>
                <c:formatCode>#,##0.00</c:formatCode>
                <c:ptCount val="7"/>
                <c:pt idx="0">
                  <c:v>0.37</c:v>
                </c:pt>
                <c:pt idx="1">
                  <c:v>0.41</c:v>
                </c:pt>
                <c:pt idx="2">
                  <c:v>0.44</c:v>
                </c:pt>
                <c:pt idx="3">
                  <c:v>0.53</c:v>
                </c:pt>
                <c:pt idx="4">
                  <c:v>0.5</c:v>
                </c:pt>
                <c:pt idx="5">
                  <c:v>0.59</c:v>
                </c:pt>
                <c:pt idx="6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E-48BB-B2F4-943E2C836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881626"/>
        <c:axId val="1727416338"/>
      </c:areaChart>
      <c:catAx>
        <c:axId val="411881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727416338"/>
        <c:crosses val="autoZero"/>
        <c:auto val="1"/>
        <c:lblAlgn val="ctr"/>
        <c:lblOffset val="100"/>
        <c:noMultiLvlLbl val="1"/>
      </c:catAx>
      <c:valAx>
        <c:axId val="172741633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41188162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r>
              <a:rPr sz="1400" b="0">
                <a:solidFill>
                  <a:srgbClr val="000000"/>
                </a:solidFill>
                <a:latin typeface="+mn-lt"/>
              </a:rPr>
              <a:t>Rotacion activos y pasivos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7222222222222224E-2"/>
          <c:y val="0.20273782699803519"/>
          <c:w val="0.87222222222222223"/>
          <c:h val="0.69793518038951741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cuadros!$C$121</c:f>
              <c:strCache>
                <c:ptCount val="1"/>
                <c:pt idx="0">
                  <c:v>pasivos</c:v>
                </c:pt>
              </c:strCache>
            </c:strRef>
          </c:tx>
          <c:spPr>
            <a:solidFill>
              <a:srgbClr val="A4C2F4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938-45C6-8A87-D5C9380BAD19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7938-45C6-8A87-D5C9380BAD19}"/>
              </c:ext>
            </c:extLst>
          </c:dPt>
          <c:cat>
            <c:strRef>
              <c:f>cuadros!$A$122:$A$128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cuadros!$C$122:$C$128</c:f>
              <c:numCache>
                <c:formatCode>0.00"x"</c:formatCode>
                <c:ptCount val="7"/>
                <c:pt idx="0">
                  <c:v>1.6597344785744412</c:v>
                </c:pt>
                <c:pt idx="1">
                  <c:v>1.6542779930598475</c:v>
                </c:pt>
                <c:pt idx="2">
                  <c:v>1.8208047535020784</c:v>
                </c:pt>
                <c:pt idx="3">
                  <c:v>2.1147820238480621</c:v>
                </c:pt>
                <c:pt idx="4">
                  <c:v>1.693996495104243</c:v>
                </c:pt>
                <c:pt idx="5">
                  <c:v>2.0274866799476925</c:v>
                </c:pt>
                <c:pt idx="6">
                  <c:v>2.1063723840374147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938-45C6-8A87-D5C9380BAD19}"/>
            </c:ext>
          </c:extLst>
        </c:ser>
        <c:ser>
          <c:idx val="1"/>
          <c:order val="1"/>
          <c:tx>
            <c:strRef>
              <c:f>cuadros!$B$121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rgbClr val="FFE599"/>
            </a:solidFill>
            <a:ln cmpd="sng">
              <a:noFill/>
            </a:ln>
          </c:spPr>
          <c:invertIfNegative val="1"/>
          <c:cat>
            <c:strRef>
              <c:f>cuadros!$A$122:$A$128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cuadros!$B$122:$B$128</c:f>
              <c:numCache>
                <c:formatCode>0.00"x"</c:formatCode>
                <c:ptCount val="7"/>
                <c:pt idx="0">
                  <c:v>1.2127950723656666</c:v>
                </c:pt>
                <c:pt idx="1">
                  <c:v>1.1745256070128836</c:v>
                </c:pt>
                <c:pt idx="2">
                  <c:v>1.2640592556619548</c:v>
                </c:pt>
                <c:pt idx="3">
                  <c:v>1.3807359035886115</c:v>
                </c:pt>
                <c:pt idx="4">
                  <c:v>1.1308475040477197</c:v>
                </c:pt>
                <c:pt idx="5">
                  <c:v>1.2758837561929486</c:v>
                </c:pt>
                <c:pt idx="6">
                  <c:v>1.3411902937929372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938-45C6-8A87-D5C9380BA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97268"/>
        <c:axId val="196099005"/>
      </c:barChart>
      <c:catAx>
        <c:axId val="8197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96099005"/>
        <c:crosses val="autoZero"/>
        <c:auto val="1"/>
        <c:lblAlgn val="ctr"/>
        <c:lblOffset val="100"/>
        <c:noMultiLvlLbl val="1"/>
      </c:catAx>
      <c:valAx>
        <c:axId val="196099005"/>
        <c:scaling>
          <c:orientation val="minMax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&quot;x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1972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693229166666672"/>
          <c:y val="0.14221556886227546"/>
          <c:w val="0.86215104166666678"/>
          <c:h val="0.75899700598802389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cuadros!$B$137</c:f>
              <c:strCache>
                <c:ptCount val="1"/>
                <c:pt idx="0">
                  <c:v> ARCOR</c:v>
                </c:pt>
              </c:strCache>
            </c:strRef>
          </c:tx>
          <c:spPr>
            <a:solidFill>
              <a:srgbClr val="A4C2F4"/>
            </a:solidFill>
            <a:ln cmpd="sng">
              <a:noFill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DAE-43AE-A1AD-3BD0C2144410}"/>
              </c:ext>
            </c:extLst>
          </c:dPt>
          <c:cat>
            <c:strRef>
              <c:f>cuadros!$A$138:$A$143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cuadros!$B$138:$B$143</c:f>
              <c:numCache>
                <c:formatCode>0.00%</c:formatCode>
                <c:ptCount val="6"/>
                <c:pt idx="0" formatCode="General">
                  <c:v>0</c:v>
                </c:pt>
                <c:pt idx="1">
                  <c:v>-3.4808761416332192E-2</c:v>
                </c:pt>
                <c:pt idx="2">
                  <c:v>0.12726081000215023</c:v>
                </c:pt>
                <c:pt idx="3">
                  <c:v>6.543865669584184E-2</c:v>
                </c:pt>
                <c:pt idx="4">
                  <c:v>-1.6092295069608433E-2</c:v>
                </c:pt>
                <c:pt idx="5">
                  <c:v>-5.539061949199723E-2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AE-43AE-A1AD-3BD0C2144410}"/>
            </c:ext>
          </c:extLst>
        </c:ser>
        <c:ser>
          <c:idx val="1"/>
          <c:order val="1"/>
          <c:tx>
            <c:strRef>
              <c:f>cuadros!$C$137</c:f>
              <c:strCache>
                <c:ptCount val="1"/>
                <c:pt idx="0">
                  <c:v>INDEC</c:v>
                </c:pt>
              </c:strCache>
            </c:strRef>
          </c:tx>
          <c:spPr>
            <a:solidFill>
              <a:srgbClr val="FFE599"/>
            </a:solidFill>
            <a:ln cmpd="sng">
              <a:noFill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BDAE-43AE-A1AD-3BD0C2144410}"/>
              </c:ext>
            </c:extLst>
          </c:dPt>
          <c:cat>
            <c:strRef>
              <c:f>cuadros!$A$138:$A$143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cuadros!$C$138:$C$143</c:f>
              <c:numCache>
                <c:formatCode>0.00%</c:formatCode>
                <c:ptCount val="6"/>
                <c:pt idx="0">
                  <c:v>-9.8000000000000004E-2</c:v>
                </c:pt>
                <c:pt idx="1">
                  <c:v>8.0000000000000002E-3</c:v>
                </c:pt>
                <c:pt idx="2">
                  <c:v>1.4999999999999999E-2</c:v>
                </c:pt>
                <c:pt idx="3">
                  <c:v>1.6E-2</c:v>
                </c:pt>
                <c:pt idx="4">
                  <c:v>8.9999999999999993E-3</c:v>
                </c:pt>
                <c:pt idx="5">
                  <c:v>-0.11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DAE-43AE-A1AD-3BD0C2144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744794"/>
        <c:axId val="2094999119"/>
      </c:barChart>
      <c:catAx>
        <c:axId val="1816744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094999119"/>
        <c:crosses val="autoZero"/>
        <c:auto val="1"/>
        <c:lblAlgn val="ctr"/>
        <c:lblOffset val="100"/>
        <c:noMultiLvlLbl val="1"/>
      </c:catAx>
      <c:valAx>
        <c:axId val="2094999119"/>
        <c:scaling>
          <c:orientation val="minMax"/>
          <c:max val="0.16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8167447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7357512953367876"/>
          <c:y val="0.18822903430906493"/>
          <c:w val="0.79675518134715018"/>
          <c:h val="0.69602116333783492"/>
        </c:manualLayout>
      </c:layout>
      <c:areaChart>
        <c:grouping val="stacked"/>
        <c:varyColors val="1"/>
        <c:ser>
          <c:idx val="0"/>
          <c:order val="0"/>
          <c:tx>
            <c:strRef>
              <c:f>cuadros!$B$152</c:f>
              <c:strCache>
                <c:ptCount val="1"/>
                <c:pt idx="0">
                  <c:v>Actividad operativa</c:v>
                </c:pt>
              </c:strCache>
            </c:strRef>
          </c:tx>
          <c:spPr>
            <a:solidFill>
              <a:srgbClr val="FFE599">
                <a:alpha val="30000"/>
              </a:srgbClr>
            </a:solidFill>
            <a:ln w="38100" cmpd="sng">
              <a:solidFill>
                <a:srgbClr val="FFE599">
                  <a:alpha val="100000"/>
                </a:srgbClr>
              </a:solidFill>
            </a:ln>
          </c:spPr>
          <c:cat>
            <c:strRef>
              <c:f>cuadros!$A$153:$A$159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cuadros!$B$153:$B$159</c:f>
              <c:numCache>
                <c:formatCode>_-"$"\ * #,##0.00_-;\-"$"\ * #,##0.00_-;_-"$"\ * "-"??_-;_-@</c:formatCode>
                <c:ptCount val="7"/>
                <c:pt idx="0">
                  <c:v>433907.12052159681</c:v>
                </c:pt>
                <c:pt idx="1">
                  <c:v>527763.25617971679</c:v>
                </c:pt>
                <c:pt idx="2">
                  <c:v>279932.92839948187</c:v>
                </c:pt>
                <c:pt idx="3">
                  <c:v>425988.9170983822</c:v>
                </c:pt>
                <c:pt idx="4">
                  <c:v>555821.5923692697</c:v>
                </c:pt>
                <c:pt idx="5">
                  <c:v>261731.02865764036</c:v>
                </c:pt>
                <c:pt idx="6">
                  <c:v>333770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8-457F-8F98-958D4A42585B}"/>
            </c:ext>
          </c:extLst>
        </c:ser>
        <c:ser>
          <c:idx val="1"/>
          <c:order val="1"/>
          <c:tx>
            <c:strRef>
              <c:f>cuadros!$C$152</c:f>
              <c:strCache>
                <c:ptCount val="1"/>
                <c:pt idx="0">
                  <c:v>Actividad de inversion</c:v>
                </c:pt>
              </c:strCache>
            </c:strRef>
          </c:tx>
          <c:spPr>
            <a:solidFill>
              <a:srgbClr val="EA9999">
                <a:alpha val="30000"/>
              </a:srgbClr>
            </a:solidFill>
            <a:ln w="9525" cmpd="sng">
              <a:solidFill>
                <a:srgbClr val="EA9999">
                  <a:alpha val="100000"/>
                </a:srgbClr>
              </a:solidFill>
            </a:ln>
          </c:spPr>
          <c:cat>
            <c:strRef>
              <c:f>cuadros!$A$153:$A$159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cuadros!$C$153:$C$159</c:f>
              <c:numCache>
                <c:formatCode>_-"$"\ * #,##0.00_-;\-"$"\ * #,##0.00_-;_-"$"\ * "-"??_-;_-@</c:formatCode>
                <c:ptCount val="7"/>
                <c:pt idx="0">
                  <c:v>-118425.76022136348</c:v>
                </c:pt>
                <c:pt idx="1">
                  <c:v>-72068.360035823323</c:v>
                </c:pt>
                <c:pt idx="2">
                  <c:v>-97302.398288103068</c:v>
                </c:pt>
                <c:pt idx="3">
                  <c:v>-95049.602421509291</c:v>
                </c:pt>
                <c:pt idx="4">
                  <c:v>-303819.96489090822</c:v>
                </c:pt>
                <c:pt idx="5">
                  <c:v>-218185.41945247646</c:v>
                </c:pt>
                <c:pt idx="6">
                  <c:v>-191946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8-457F-8F98-958D4A42585B}"/>
            </c:ext>
          </c:extLst>
        </c:ser>
        <c:ser>
          <c:idx val="2"/>
          <c:order val="2"/>
          <c:tx>
            <c:strRef>
              <c:f>cuadros!$D$152</c:f>
              <c:strCache>
                <c:ptCount val="1"/>
                <c:pt idx="0">
                  <c:v>Actividad de financiacion</c:v>
                </c:pt>
              </c:strCache>
            </c:strRef>
          </c:tx>
          <c:spPr>
            <a:solidFill>
              <a:srgbClr val="B6D7A8">
                <a:alpha val="30000"/>
              </a:srgbClr>
            </a:solidFill>
            <a:ln w="9525" cmpd="sng">
              <a:solidFill>
                <a:srgbClr val="B6D7A8">
                  <a:alpha val="100000"/>
                </a:srgbClr>
              </a:solidFill>
            </a:ln>
          </c:spPr>
          <c:cat>
            <c:strRef>
              <c:f>cuadros!$A$153:$A$159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cuadros!$D$153:$D$159</c:f>
              <c:numCache>
                <c:formatCode>_-"$"\ * #,##0.00_-;\-"$"\ * #,##0.00_-;_-"$"\ * "-"??_-;_-@</c:formatCode>
                <c:ptCount val="7"/>
                <c:pt idx="0">
                  <c:v>-219282.53135952327</c:v>
                </c:pt>
                <c:pt idx="1">
                  <c:v>-434361.06452770403</c:v>
                </c:pt>
                <c:pt idx="2">
                  <c:v>-155068.96278796444</c:v>
                </c:pt>
                <c:pt idx="3">
                  <c:v>-391855.71284999605</c:v>
                </c:pt>
                <c:pt idx="4">
                  <c:v>-219502.2495450931</c:v>
                </c:pt>
                <c:pt idx="5">
                  <c:v>45014.08282035077</c:v>
                </c:pt>
                <c:pt idx="6">
                  <c:v>-98429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8-457F-8F98-958D4A42585B}"/>
            </c:ext>
          </c:extLst>
        </c:ser>
        <c:ser>
          <c:idx val="3"/>
          <c:order val="3"/>
          <c:tx>
            <c:strRef>
              <c:f>cuadros!$E$152</c:f>
              <c:strCache>
                <c:ptCount val="1"/>
                <c:pt idx="0">
                  <c:v>Variacion del Efectivo y equivalentes</c:v>
                </c:pt>
              </c:strCache>
            </c:strRef>
          </c:tx>
          <c:spPr>
            <a:solidFill>
              <a:srgbClr val="A4C2F4">
                <a:alpha val="30000"/>
              </a:srgbClr>
            </a:solidFill>
            <a:ln w="9525"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cuadros!$A$153:$A$159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cuadros!$E$153:$E$159</c:f>
              <c:numCache>
                <c:formatCode>_-"$"\ * #,##0.00_-;\-"$"\ * #,##0.00_-;_-"$"\ * "-"??_-;_-@</c:formatCode>
                <c:ptCount val="7"/>
                <c:pt idx="0">
                  <c:v>96198.828940710009</c:v>
                </c:pt>
                <c:pt idx="1">
                  <c:v>21333.831616189484</c:v>
                </c:pt>
                <c:pt idx="2">
                  <c:v>27561.567323414325</c:v>
                </c:pt>
                <c:pt idx="3">
                  <c:v>-60916.398173123176</c:v>
                </c:pt>
                <c:pt idx="4">
                  <c:v>32499.377933268275</c:v>
                </c:pt>
                <c:pt idx="5">
                  <c:v>88559.692025514654</c:v>
                </c:pt>
                <c:pt idx="6">
                  <c:v>43395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48-457F-8F98-958D4A425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3663"/>
        <c:axId val="472476623"/>
      </c:areaChart>
      <c:catAx>
        <c:axId val="8463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472476623"/>
        <c:crosses val="autoZero"/>
        <c:auto val="1"/>
        <c:lblAlgn val="ctr"/>
        <c:lblOffset val="100"/>
        <c:noMultiLvlLbl val="1"/>
      </c:catAx>
      <c:valAx>
        <c:axId val="472476623"/>
        <c:scaling>
          <c:orientation val="minMax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463366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chemeClr val="dk1"/>
                </a:solidFill>
                <a:latin typeface="+mn-lt"/>
              </a:defRPr>
            </a:pPr>
            <a:r>
              <a:rPr sz="1400" b="0">
                <a:solidFill>
                  <a:schemeClr val="dk1"/>
                </a:solidFill>
                <a:latin typeface="+mn-lt"/>
              </a:rPr>
              <a:t>Leverage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A4C2F4">
                <a:alpha val="30000"/>
              </a:srgbClr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cuadros!$A$183:$A$189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cuadros!$B$183:$B$189</c:f>
              <c:numCache>
                <c:formatCode>0.00"x"</c:formatCode>
                <c:ptCount val="7"/>
                <c:pt idx="0">
                  <c:v>-2.2573285621325389E-2</c:v>
                </c:pt>
                <c:pt idx="1">
                  <c:v>0.70095947837929806</c:v>
                </c:pt>
                <c:pt idx="2">
                  <c:v>5.403400423811882</c:v>
                </c:pt>
                <c:pt idx="3">
                  <c:v>97.30760583718731</c:v>
                </c:pt>
                <c:pt idx="4">
                  <c:v>-0.2379153086285489</c:v>
                </c:pt>
                <c:pt idx="5">
                  <c:v>2.5774836522143518</c:v>
                </c:pt>
                <c:pt idx="6">
                  <c:v>0.61337644926658652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1-43AE-A667-7EC71E6F3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281076"/>
        <c:axId val="1128737884"/>
      </c:areaChart>
      <c:catAx>
        <c:axId val="439281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128737884"/>
        <c:crosses val="autoZero"/>
        <c:auto val="1"/>
        <c:lblAlgn val="ctr"/>
        <c:lblOffset val="100"/>
        <c:noMultiLvlLbl val="1"/>
      </c:catAx>
      <c:valAx>
        <c:axId val="112873788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&quot;x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43928107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895350</xdr:colOff>
      <xdr:row>36</xdr:row>
      <xdr:rowOff>28575</xdr:rowOff>
    </xdr:from>
    <xdr:ext cx="3524250" cy="19145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609600</xdr:colOff>
      <xdr:row>51</xdr:row>
      <xdr:rowOff>0</xdr:rowOff>
    </xdr:from>
    <xdr:ext cx="4152900" cy="201930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552450</xdr:colOff>
      <xdr:row>64</xdr:row>
      <xdr:rowOff>190500</xdr:rowOff>
    </xdr:from>
    <xdr:ext cx="3867150" cy="191452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257175</xdr:colOff>
      <xdr:row>78</xdr:row>
      <xdr:rowOff>76200</xdr:rowOff>
    </xdr:from>
    <xdr:ext cx="3590925" cy="2343150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85725</xdr:colOff>
      <xdr:row>104</xdr:row>
      <xdr:rowOff>133350</xdr:rowOff>
    </xdr:from>
    <xdr:ext cx="4029075" cy="2486025"/>
    <xdr:graphicFrame macro="">
      <xdr:nvGraphicFramePr>
        <xdr:cNvPr id="6" name="Chart 5" title="Gráfic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342900</xdr:colOff>
      <xdr:row>104</xdr:row>
      <xdr:rowOff>95250</xdr:rowOff>
    </xdr:from>
    <xdr:ext cx="3952875" cy="2486025"/>
    <xdr:graphicFrame macro="">
      <xdr:nvGraphicFramePr>
        <xdr:cNvPr id="7" name="Chart 6" title="Gráfic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</xdr:col>
      <xdr:colOff>571500</xdr:colOff>
      <xdr:row>19</xdr:row>
      <xdr:rowOff>28575</xdr:rowOff>
    </xdr:from>
    <xdr:ext cx="4038600" cy="2524125"/>
    <xdr:graphicFrame macro="">
      <xdr:nvGraphicFramePr>
        <xdr:cNvPr id="8" name="Chart 7" title="Gráfic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8</xdr:col>
      <xdr:colOff>228600</xdr:colOff>
      <xdr:row>19</xdr:row>
      <xdr:rowOff>123825</xdr:rowOff>
    </xdr:from>
    <xdr:ext cx="4038600" cy="2524125"/>
    <xdr:graphicFrame macro="">
      <xdr:nvGraphicFramePr>
        <xdr:cNvPr id="9" name="Chart 8" title="Gráfic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</xdr:col>
      <xdr:colOff>400050</xdr:colOff>
      <xdr:row>119</xdr:row>
      <xdr:rowOff>85725</xdr:rowOff>
    </xdr:from>
    <xdr:ext cx="4638675" cy="2886075"/>
    <xdr:graphicFrame macro="">
      <xdr:nvGraphicFramePr>
        <xdr:cNvPr id="10" name="Chart 9" title="Gráfic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</xdr:col>
      <xdr:colOff>771525</xdr:colOff>
      <xdr:row>136</xdr:row>
      <xdr:rowOff>95250</xdr:rowOff>
    </xdr:from>
    <xdr:ext cx="4905375" cy="2524125"/>
    <xdr:graphicFrame macro="">
      <xdr:nvGraphicFramePr>
        <xdr:cNvPr id="11" name="Chart 10" title="Gráfic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7</xdr:col>
      <xdr:colOff>485775</xdr:colOff>
      <xdr:row>160</xdr:row>
      <xdr:rowOff>47625</xdr:rowOff>
    </xdr:from>
    <xdr:ext cx="6124575" cy="3533775"/>
    <xdr:graphicFrame macro="">
      <xdr:nvGraphicFramePr>
        <xdr:cNvPr id="12" name="Chart 11" title="Gráfic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</xdr:col>
      <xdr:colOff>1095375</xdr:colOff>
      <xdr:row>172</xdr:row>
      <xdr:rowOff>161925</xdr:rowOff>
    </xdr:from>
    <xdr:ext cx="5715000" cy="3533775"/>
    <xdr:graphicFrame macro="">
      <xdr:nvGraphicFramePr>
        <xdr:cNvPr id="13" name="Chart 12" title="Gráfic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00:D207">
  <tableColumns count="4">
    <tableColumn id="1" xr3:uid="{00000000-0010-0000-0000-000001000000}" name="Año"/>
    <tableColumn id="2" xr3:uid="{00000000-0010-0000-0000-000002000000}" name="ROA"/>
    <tableColumn id="3" xr3:uid="{00000000-0010-0000-0000-000003000000}" name="ROE"/>
    <tableColumn id="4" xr3:uid="{00000000-0010-0000-0000-000004000000}" name="Margen EBITDA"/>
  </tableColumns>
  <tableStyleInfo name="cuadr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0:D217">
  <tableColumns count="4">
    <tableColumn id="1" xr3:uid="{00000000-0010-0000-0100-000001000000}" name="Año"/>
    <tableColumn id="2" xr3:uid="{00000000-0010-0000-0100-000002000000}" name="Liquidez"/>
    <tableColumn id="3" xr3:uid="{00000000-0010-0000-0100-000003000000}" name="Prueba Ácida"/>
    <tableColumn id="4" xr3:uid="{00000000-0010-0000-0100-000004000000}" name="Capital de Trabajo"/>
  </tableColumns>
  <tableStyleInfo name="cuadr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20:D227">
  <tableColumns count="4">
    <tableColumn id="1" xr3:uid="{00000000-0010-0000-0200-000001000000}" name="Año"/>
    <tableColumn id="2" xr3:uid="{00000000-0010-0000-0200-000002000000}" name="Endeudamiento"/>
    <tableColumn id="3" xr3:uid="{00000000-0010-0000-0200-000003000000}" name="Solvencia"/>
    <tableColumn id="4" xr3:uid="{00000000-0010-0000-0200-000004000000}" name="Deuda Financiera / EBITDA"/>
  </tableColumns>
  <tableStyleInfo name="cuadro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30:E237">
  <tableColumns count="5">
    <tableColumn id="1" xr3:uid="{00000000-0010-0000-0300-000001000000}" name="Año"/>
    <tableColumn id="2" xr3:uid="{00000000-0010-0000-0300-000002000000}" name="Variación % Ventas"/>
    <tableColumn id="3" xr3:uid="{00000000-0010-0000-0300-000003000000}" name="Variación % Utilidad Bruta"/>
    <tableColumn id="4" xr3:uid="{00000000-0010-0000-0300-000004000000}" name="Rotación de Activos"/>
    <tableColumn id="5" xr3:uid="{00000000-0010-0000-0300-000005000000}" name="INDEC - Ventas Supermercados"/>
  </tableColumns>
  <tableStyleInfo name="cuadro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98"/>
  <sheetViews>
    <sheetView tabSelected="1" workbookViewId="0"/>
  </sheetViews>
  <sheetFormatPr baseColWidth="10" defaultColWidth="14.42578125" defaultRowHeight="15" customHeight="1"/>
  <cols>
    <col min="1" max="1" width="12.5703125" customWidth="1"/>
    <col min="2" max="2" width="74.28515625" customWidth="1"/>
    <col min="3" max="5" width="20.28515625" customWidth="1"/>
    <col min="6" max="7" width="14.5703125" customWidth="1"/>
    <col min="8" max="11" width="18.28515625" customWidth="1"/>
    <col min="12" max="12" width="20.7109375" customWidth="1"/>
    <col min="13" max="25" width="10.7109375" customWidth="1"/>
  </cols>
  <sheetData>
    <row r="1" spans="1:12" ht="30" customHeight="1">
      <c r="A1" s="1" t="s">
        <v>0</v>
      </c>
      <c r="B1" s="7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5" t="s">
        <v>8</v>
      </c>
      <c r="J1" s="75" t="s">
        <v>9</v>
      </c>
      <c r="K1" s="75" t="s">
        <v>10</v>
      </c>
      <c r="L1" s="3" t="s">
        <v>11</v>
      </c>
    </row>
    <row r="2" spans="1:12">
      <c r="B2" s="76" t="s">
        <v>256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</row>
    <row r="3" spans="1:12">
      <c r="B3" s="76" t="s">
        <v>257</v>
      </c>
      <c r="C3" s="5">
        <v>1E-3</v>
      </c>
      <c r="D3" s="5">
        <v>1E-3</v>
      </c>
      <c r="E3" s="5">
        <v>1E-3</v>
      </c>
      <c r="F3" s="5">
        <v>1E-3</v>
      </c>
      <c r="G3" s="5">
        <v>1E-3</v>
      </c>
      <c r="H3" s="5">
        <v>1</v>
      </c>
      <c r="I3" s="5">
        <v>1</v>
      </c>
      <c r="J3" s="5">
        <v>1</v>
      </c>
      <c r="K3" s="5">
        <v>1</v>
      </c>
      <c r="L3" s="5">
        <v>1</v>
      </c>
    </row>
    <row r="4" spans="1:12">
      <c r="B4" s="76" t="s">
        <v>258</v>
      </c>
      <c r="C4" s="77">
        <f>VLOOKUP(DATE(YEAR(C6),MONTH(C6),1),'ipc empalme ipim'!$A:$C,2,0)</f>
        <v>283.44420000000002</v>
      </c>
      <c r="D4" s="77">
        <f>VLOOKUP(DATE(YEAR(D6),MONTH(D6),1),'ipc empalme ipim'!$A:$C,2,0)</f>
        <v>385.88260000000002</v>
      </c>
      <c r="E4" s="77">
        <f>VLOOKUP(DATE(YEAR(E6),MONTH(E6),1),'ipc empalme ipim'!$A:$C,2,0)</f>
        <v>582.45749999999998</v>
      </c>
      <c r="F4" s="77">
        <f>VLOOKUP(DATE(YEAR(F6),MONTH(F6),1),'ipc empalme ipim'!$A:$C,2,0)</f>
        <v>1134.5875000000001</v>
      </c>
      <c r="G4" s="77">
        <f>VLOOKUP(DATE(YEAR(G6),MONTH(G6),1),'ipc empalme ipim'!$A:$C,2,0)</f>
        <v>3533.1922</v>
      </c>
      <c r="H4" s="77">
        <f>VLOOKUP(DATE(YEAR(H6),MONTH(H6),1),'ipc empalme ipim'!$A:$C,2,0)</f>
        <v>7694.0074999999997</v>
      </c>
      <c r="I4" s="77">
        <f>VLOOKUP(DATE(YEAR(I6),MONTH(I6),1),'ipc empalme ipim'!$A:$C,2,0)</f>
        <v>8353.3158000000003</v>
      </c>
      <c r="J4" s="77">
        <f>VLOOKUP(DATE(YEAR(J6),MONTH(J6),1),'ipc empalme ipim'!$A:$C,2,0)</f>
        <v>8855.5681000000004</v>
      </c>
      <c r="K4" s="77">
        <f>VLOOKUP(DATE(YEAR(K6),MONTH(K6),1),'ipc empalme ipim'!$A:$C,2,0)</f>
        <v>9384.0921999999991</v>
      </c>
      <c r="L4" s="77">
        <f>VLOOKUP(DATE(YEAR(L6),MONTH(L6),1),'ipc empalme ipim'!$A:$C,2,0)</f>
        <v>9384.0921999999991</v>
      </c>
    </row>
    <row r="5" spans="1:12">
      <c r="B5" s="76" t="s">
        <v>259</v>
      </c>
      <c r="C5" s="5">
        <f t="shared" ref="C5:L5" si="0">$L$4/C4</f>
        <v>33.107370692362018</v>
      </c>
      <c r="D5" s="5">
        <f t="shared" si="0"/>
        <v>24.318516046072041</v>
      </c>
      <c r="E5" s="5">
        <f t="shared" si="0"/>
        <v>16.111205023542489</v>
      </c>
      <c r="F5" s="5">
        <f t="shared" si="0"/>
        <v>8.2709285973977309</v>
      </c>
      <c r="G5" s="5">
        <f t="shared" si="0"/>
        <v>2.6559812398544294</v>
      </c>
      <c r="H5" s="5">
        <f t="shared" si="0"/>
        <v>1.2196624710854518</v>
      </c>
      <c r="I5" s="5">
        <f t="shared" si="0"/>
        <v>1.123397274169857</v>
      </c>
      <c r="J5" s="5">
        <f t="shared" si="0"/>
        <v>1.0596826870994305</v>
      </c>
      <c r="K5" s="5">
        <f t="shared" si="0"/>
        <v>1</v>
      </c>
      <c r="L5" s="5">
        <f t="shared" si="0"/>
        <v>1</v>
      </c>
    </row>
    <row r="6" spans="1:12">
      <c r="B6" s="78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  <c r="L6" s="7" t="s">
        <v>24</v>
      </c>
    </row>
    <row r="7" spans="1:12">
      <c r="A7" s="8">
        <v>1122500</v>
      </c>
      <c r="B7" s="79" t="s">
        <v>26</v>
      </c>
      <c r="C7" s="10">
        <f>'Balances Originales'!C4*C$3*C$5</f>
        <v>329984.24267624662</v>
      </c>
      <c r="D7" s="10">
        <f>'Balances Originales'!D4*D$3*D$5</f>
        <v>353732.24638443865</v>
      </c>
      <c r="E7" s="10">
        <f>'Balances Originales'!E4*E$3*E$5</f>
        <v>312689.71489478764</v>
      </c>
      <c r="F7" s="10">
        <f>'Balances Originales'!F4*F$3*F$5</f>
        <v>187675.74832562366</v>
      </c>
      <c r="G7" s="10">
        <f>'Balances Originales'!G4*G$3*G$5</f>
        <v>249338.54945663406</v>
      </c>
      <c r="H7" s="10">
        <f>'Balances Originales'!H4*H$3*H$5</f>
        <v>229613.65680654717</v>
      </c>
      <c r="I7" s="10">
        <f>'Balances Originales'!I4*I$3*I$5</f>
        <v>238269.19165960417</v>
      </c>
      <c r="J7" s="10">
        <f>'Balances Originales'!J4*J$3*J$5</f>
        <v>244589.59974016793</v>
      </c>
      <c r="K7" s="10">
        <f>'Balances Originales'!K4*K$3*K$5</f>
        <v>299173</v>
      </c>
      <c r="L7" s="10">
        <f>'Balances Originales'!L4*L$3*L$5</f>
        <v>299173</v>
      </c>
    </row>
    <row r="8" spans="1:12">
      <c r="A8" s="8">
        <v>1122300</v>
      </c>
      <c r="B8" s="79" t="s">
        <v>28</v>
      </c>
      <c r="C8" s="10">
        <f>'Balances Originales'!C5*C$3*C$5</f>
        <v>424.40338490538875</v>
      </c>
      <c r="D8" s="10">
        <f>'Balances Originales'!D5*D$3*D$5</f>
        <v>6565.9993324394509</v>
      </c>
      <c r="E8" s="10">
        <f>'Balances Originales'!E5*E$3*E$5</f>
        <v>8765.7522067989503</v>
      </c>
      <c r="F8" s="10">
        <f>'Balances Originales'!F5*F$3*F$5</f>
        <v>16870.088996183189</v>
      </c>
      <c r="G8" s="10">
        <f>'Balances Originales'!G5*G$3*G$5</f>
        <v>0</v>
      </c>
      <c r="H8" s="10">
        <f>'Balances Originales'!H5*H$3*H$5</f>
        <v>78269.399756966697</v>
      </c>
      <c r="I8" s="10">
        <f>'Balances Originales'!I5*I$3*I$5</f>
        <v>83126.90469947274</v>
      </c>
      <c r="J8" s="10">
        <f>'Balances Originales'!J5*J$3*J$5</f>
        <v>81789.488838395337</v>
      </c>
      <c r="K8" s="10">
        <f>'Balances Originales'!K5*K$3*K$5</f>
        <v>115489</v>
      </c>
      <c r="L8" s="10">
        <f>'Balances Originales'!L5*L$3*L$5</f>
        <v>115489</v>
      </c>
    </row>
    <row r="9" spans="1:12">
      <c r="A9" s="8">
        <v>1121999</v>
      </c>
      <c r="B9" s="79" t="s">
        <v>30</v>
      </c>
      <c r="C9" s="10">
        <f>'Balances Originales'!C6*C$3*C$5</f>
        <v>774561.20662457787</v>
      </c>
      <c r="D9" s="10">
        <f>'Balances Originales'!D6*D$3*D$5</f>
        <v>768274.13374936674</v>
      </c>
      <c r="E9" s="10">
        <f>'Balances Originales'!E6*E$3*E$5</f>
        <v>878584.90017212171</v>
      </c>
      <c r="F9" s="10">
        <f>'Balances Originales'!F6*F$3*F$5</f>
        <v>865375.6881166168</v>
      </c>
      <c r="G9" s="10">
        <f>'Balances Originales'!G6*G$3*G$5</f>
        <v>1011386.8622288079</v>
      </c>
      <c r="H9" s="10">
        <f>'Balances Originales'!H6*H$3*H$5</f>
        <v>722017.00929563679</v>
      </c>
      <c r="I9" s="10">
        <f>'Balances Originales'!I6*I$3*I$5</f>
        <v>827860.65966489608</v>
      </c>
      <c r="J9" s="10">
        <f>'Balances Originales'!J6*J$3*J$5</f>
        <v>819942.19533542951</v>
      </c>
      <c r="K9" s="10">
        <f>'Balances Originales'!K6*K$3*K$5</f>
        <v>852853</v>
      </c>
      <c r="L9" s="10">
        <f>'Balances Originales'!L6*L$3*L$5</f>
        <v>852853</v>
      </c>
    </row>
    <row r="10" spans="1:12">
      <c r="A10" s="8">
        <v>1122400</v>
      </c>
      <c r="B10" s="79" t="s">
        <v>32</v>
      </c>
      <c r="C10" s="10">
        <f>'Balances Originales'!C7*C$3*C$5</f>
        <v>14460.968444716806</v>
      </c>
      <c r="D10" s="10">
        <f>'Balances Originales'!D7*D$3*D$5</f>
        <v>17572.827198568164</v>
      </c>
      <c r="E10" s="10">
        <f>'Balances Originales'!E7*E$3*E$5</f>
        <v>28972.941105886694</v>
      </c>
      <c r="F10" s="10">
        <f>'Balances Originales'!F7*F$3*F$5</f>
        <v>23660.835669933429</v>
      </c>
      <c r="G10" s="10">
        <f>'Balances Originales'!G7*G$3*G$5</f>
        <v>244708.53937605146</v>
      </c>
      <c r="H10" s="10">
        <f>'Balances Originales'!H7*H$3*H$5</f>
        <v>207037.70446675544</v>
      </c>
      <c r="I10" s="10">
        <f>'Balances Originales'!I7*I$3*I$5</f>
        <v>213339.88274850088</v>
      </c>
      <c r="J10" s="10">
        <f>'Balances Originales'!J7*J$3*J$5</f>
        <v>205161.98600125944</v>
      </c>
      <c r="K10" s="10">
        <f>'Balances Originales'!K7*K$3*K$5</f>
        <v>223489</v>
      </c>
      <c r="L10" s="10">
        <f>'Balances Originales'!L7*L$3*L$5</f>
        <v>223489</v>
      </c>
    </row>
    <row r="11" spans="1:12">
      <c r="A11" s="8">
        <v>1120100</v>
      </c>
      <c r="B11" s="79" t="s">
        <v>34</v>
      </c>
      <c r="C11" s="10">
        <f>'Balances Originales'!C8*C$3*C$5</f>
        <v>719764.83321057179</v>
      </c>
      <c r="D11" s="10">
        <f>'Balances Originales'!D8*D$3*D$5</f>
        <v>762635.05897453928</v>
      </c>
      <c r="E11" s="10">
        <f>'Balances Originales'!E8*E$3*E$5</f>
        <v>892696.04409283667</v>
      </c>
      <c r="F11" s="10">
        <f>'Balances Originales'!F8*F$3*F$5</f>
        <v>1040277.3015188464</v>
      </c>
      <c r="G11" s="10">
        <f>'Balances Originales'!G8*G$3*G$5</f>
        <v>1142730.4916537704</v>
      </c>
      <c r="H11" s="10">
        <f>'Balances Originales'!H8*H$3*H$5</f>
        <v>991647.79177849763</v>
      </c>
      <c r="I11" s="10">
        <f>'Balances Originales'!I8*I$3*I$5</f>
        <v>976770.33854793315</v>
      </c>
      <c r="J11" s="10">
        <f>'Balances Originales'!J8*J$3*J$5</f>
        <v>1026985.1181062905</v>
      </c>
      <c r="K11" s="10">
        <f>'Balances Originales'!K8*K$3*K$5</f>
        <v>1046192</v>
      </c>
      <c r="L11" s="10">
        <f>'Balances Originales'!L8*L$3*L$5</f>
        <v>1046192</v>
      </c>
    </row>
    <row r="12" spans="1:12">
      <c r="A12" s="8">
        <v>1139999</v>
      </c>
      <c r="B12" s="79" t="s">
        <v>36</v>
      </c>
      <c r="C12" s="10">
        <f>'Balances Originales'!C9*C$3*C$5</f>
        <v>1839195.6543410185</v>
      </c>
      <c r="D12" s="10">
        <f>'Balances Originales'!D9*D$3*D$5</f>
        <v>1908780.2656393524</v>
      </c>
      <c r="E12" s="10">
        <f>'Balances Originales'!E9*E$3*E$5</f>
        <v>2121709.3524724315</v>
      </c>
      <c r="F12" s="10">
        <f>'Balances Originales'!F9*F$3*F$5</f>
        <v>2133859.6626272034</v>
      </c>
      <c r="G12" s="10">
        <f>'Balances Originales'!G9*G$3*G$5</f>
        <v>2648164.4427152639</v>
      </c>
      <c r="H12" s="10">
        <f>'Balances Originales'!H9*H$3*H$5</f>
        <v>2228585.562104404</v>
      </c>
      <c r="I12" s="10">
        <f>'Balances Originales'!I9*I$3*I$5</f>
        <v>2339366.9773204071</v>
      </c>
      <c r="J12" s="10">
        <f>'Balances Originales'!J9*J$3*J$5</f>
        <v>2378468.3880215427</v>
      </c>
      <c r="K12" s="10">
        <f>'Balances Originales'!K9*K$3*K$5</f>
        <v>2537196</v>
      </c>
      <c r="L12" s="10">
        <f>'Balances Originales'!L9*L$3*L$5</f>
        <v>2537196</v>
      </c>
    </row>
    <row r="13" spans="1:12">
      <c r="A13" s="8">
        <v>1112400</v>
      </c>
      <c r="B13" s="79" t="s">
        <v>38</v>
      </c>
      <c r="C13" s="10">
        <f>'Balances Originales'!C10*C$3*C$5</f>
        <v>0</v>
      </c>
      <c r="D13" s="10">
        <f>'Balances Originales'!D10*D$3*D$5</f>
        <v>0</v>
      </c>
      <c r="E13" s="10">
        <f>'Balances Originales'!E10*E$3*E$5</f>
        <v>0</v>
      </c>
      <c r="F13" s="10">
        <f>'Balances Originales'!F10*F$3*F$5</f>
        <v>0</v>
      </c>
      <c r="G13" s="10">
        <f>'Balances Originales'!G10*G$3*G$5</f>
        <v>68130.864239334725</v>
      </c>
      <c r="H13" s="10">
        <f>'Balances Originales'!H10*H$3*H$5</f>
        <v>0</v>
      </c>
      <c r="I13" s="10">
        <f>'Balances Originales'!I10*I$3*I$5</f>
        <v>0</v>
      </c>
      <c r="J13" s="10">
        <f>'Balances Originales'!J10*J$3*J$5</f>
        <v>0</v>
      </c>
      <c r="K13" s="10">
        <f>'Balances Originales'!K10*K$3*K$5</f>
        <v>0</v>
      </c>
      <c r="L13" s="10">
        <f>'Balances Originales'!L10*L$3*L$5</f>
        <v>0</v>
      </c>
    </row>
    <row r="14" spans="1:12">
      <c r="A14" s="8">
        <v>1111999</v>
      </c>
      <c r="B14" s="79" t="s">
        <v>40</v>
      </c>
      <c r="C14" s="10">
        <f>'Balances Originales'!C11*C$3*C$5</f>
        <v>66925.65595560112</v>
      </c>
      <c r="D14" s="10">
        <f>'Balances Originales'!D11*D$3*D$5</f>
        <v>69830.886329972374</v>
      </c>
      <c r="E14" s="10">
        <f>'Balances Originales'!E11*E$3*E$5</f>
        <v>85524.382411667451</v>
      </c>
      <c r="F14" s="10">
        <f>'Balances Originales'!F11*F$3*F$5</f>
        <v>56820.543351477245</v>
      </c>
      <c r="G14" s="10">
        <f>'Balances Originales'!G11*G$3*G$5</f>
        <v>87926.298785099483</v>
      </c>
      <c r="H14" s="10">
        <f>'Balances Originales'!H11*H$3*H$5</f>
        <v>49426.821640737937</v>
      </c>
      <c r="I14" s="10">
        <f>'Balances Originales'!I11*I$3*I$5</f>
        <v>57588.714465769379</v>
      </c>
      <c r="J14" s="10">
        <f>'Balances Originales'!J11*J$3*J$5</f>
        <v>69542.736023587218</v>
      </c>
      <c r="K14" s="10">
        <f>'Balances Originales'!K11*K$3*K$5</f>
        <v>55038</v>
      </c>
      <c r="L14" s="10">
        <f>'Balances Originales'!L11*L$3*L$5</f>
        <v>55038</v>
      </c>
    </row>
    <row r="15" spans="1:12">
      <c r="A15" s="8">
        <v>1110100</v>
      </c>
      <c r="B15" s="79" t="s">
        <v>42</v>
      </c>
      <c r="C15" s="10">
        <f>'Balances Originales'!C12*C$3*C$5</f>
        <v>1196949.9418085949</v>
      </c>
      <c r="D15" s="10">
        <f>'Balances Originales'!D12*D$3*D$5</f>
        <v>1151286.0436828884</v>
      </c>
      <c r="E15" s="10">
        <f>'Balances Originales'!E12*E$3*E$5</f>
        <v>1112783.7564315246</v>
      </c>
      <c r="F15" s="10">
        <f>'Balances Originales'!F12*F$3*F$5</f>
        <v>1068670.3820694955</v>
      </c>
      <c r="G15" s="10">
        <f>'Balances Originales'!G12*G$3*G$5</f>
        <v>1190756.1197275799</v>
      </c>
      <c r="H15" s="10">
        <f>'Balances Originales'!H12*H$3*H$5</f>
        <v>1062980.9710624013</v>
      </c>
      <c r="I15" s="10">
        <f>'Balances Originales'!I12*I$3*I$5</f>
        <v>1058598.5959984655</v>
      </c>
      <c r="J15" s="10">
        <f>'Balances Originales'!J12*J$3*J$5</f>
        <v>1102631.6264075704</v>
      </c>
      <c r="K15" s="10">
        <f>'Balances Originales'!K12*K$3*K$5</f>
        <v>1179900</v>
      </c>
      <c r="L15" s="10">
        <f>'Balances Originales'!L12*L$3*L$5</f>
        <v>1179900</v>
      </c>
    </row>
    <row r="16" spans="1:12">
      <c r="A16" s="8">
        <v>1112500</v>
      </c>
      <c r="B16" s="79" t="s">
        <v>44</v>
      </c>
      <c r="C16" s="10">
        <f>'Balances Originales'!C13*C$3*C$5</f>
        <v>375239.99886309332</v>
      </c>
      <c r="D16" s="10">
        <f>'Balances Originales'!D13*D$3*D$5</f>
        <v>339405.64925582852</v>
      </c>
      <c r="E16" s="10">
        <f>'Balances Originales'!E13*E$3*E$5</f>
        <v>323508.84018183715</v>
      </c>
      <c r="F16" s="10">
        <f>'Balances Originales'!F13*F$3*F$5</f>
        <v>288511.187867228</v>
      </c>
      <c r="G16" s="10">
        <f>'Balances Originales'!G13*G$3*G$5</f>
        <v>305039.36040588154</v>
      </c>
      <c r="H16" s="10">
        <f>'Balances Originales'!H13*H$3*H$5</f>
        <v>233851.98389356909</v>
      </c>
      <c r="I16" s="10">
        <f>'Balances Originales'!I13*I$3*I$5</f>
        <v>221139.63002306217</v>
      </c>
      <c r="J16" s="10">
        <f>'Balances Originales'!J13*J$3*J$5</f>
        <v>227768.19676515157</v>
      </c>
      <c r="K16" s="10">
        <f>'Balances Originales'!K13*K$3*K$5</f>
        <v>241236</v>
      </c>
      <c r="L16" s="10">
        <f>'Balances Originales'!L13*L$3*L$5</f>
        <v>241236</v>
      </c>
    </row>
    <row r="17" spans="1:12">
      <c r="A17" s="8">
        <v>1110200</v>
      </c>
      <c r="B17" s="79" t="s">
        <v>46</v>
      </c>
      <c r="C17" s="10">
        <f>'Balances Originales'!C14*C$3*C$5</f>
        <v>199061.84052808557</v>
      </c>
      <c r="D17" s="10">
        <f>'Balances Originales'!D14*D$3*D$5</f>
        <v>195714.20121298547</v>
      </c>
      <c r="E17" s="10">
        <f>'Balances Originales'!E14*E$3*E$5</f>
        <v>195273.47602950328</v>
      </c>
      <c r="F17" s="10">
        <f>'Balances Originales'!F14*F$3*F$5</f>
        <v>196525.22837840937</v>
      </c>
      <c r="G17" s="10">
        <f>'Balances Originales'!G14*G$3*G$5</f>
        <v>198212.99022274709</v>
      </c>
      <c r="H17" s="10">
        <f>'Balances Originales'!H14*H$3*H$5</f>
        <v>191211.36424195062</v>
      </c>
      <c r="I17" s="10">
        <f>'Balances Originales'!I14*I$3*I$5</f>
        <v>189139.65866833381</v>
      </c>
      <c r="J17" s="10">
        <f>'Balances Originales'!J14*J$3*J$5</f>
        <v>192709.65474515402</v>
      </c>
      <c r="K17" s="10">
        <f>'Balances Originales'!K14*K$3*K$5</f>
        <v>200346</v>
      </c>
      <c r="L17" s="10">
        <f>'Balances Originales'!L14*L$3*L$5</f>
        <v>200346</v>
      </c>
    </row>
    <row r="18" spans="1:12">
      <c r="A18" s="8">
        <v>1119999</v>
      </c>
      <c r="B18" s="79" t="s">
        <v>48</v>
      </c>
      <c r="C18" s="10">
        <f>'Balances Originales'!C15*C$3*C$5</f>
        <v>1838177.437155375</v>
      </c>
      <c r="D18" s="10">
        <f>'Balances Originales'!D15*D$3*D$5</f>
        <v>1756236.7804816747</v>
      </c>
      <c r="E18" s="10">
        <f>'Balances Originales'!E15*E$3*E$5</f>
        <v>1717090.4550545325</v>
      </c>
      <c r="F18" s="10">
        <f>'Balances Originales'!F15*F$3*F$5</f>
        <v>1610527.34166661</v>
      </c>
      <c r="G18" s="10">
        <f>'Balances Originales'!G15*G$3*G$5</f>
        <v>1850065.6333806429</v>
      </c>
      <c r="H18" s="10">
        <f>'Balances Originales'!H15*H$3*H$5</f>
        <v>1537471.1408386591</v>
      </c>
      <c r="I18" s="10">
        <f>'Balances Originales'!I15*I$3*I$5</f>
        <v>1526466.5991556309</v>
      </c>
      <c r="J18" s="10">
        <f>'Balances Originales'!J15*J$3*J$5</f>
        <v>1592652.2139414633</v>
      </c>
      <c r="K18" s="10">
        <f>'Balances Originales'!K15*K$3*K$5</f>
        <v>1676520</v>
      </c>
      <c r="L18" s="10">
        <f>'Balances Originales'!L15*L$3*L$5</f>
        <v>1676520</v>
      </c>
    </row>
    <row r="19" spans="1:12">
      <c r="A19" s="8">
        <v>1999999</v>
      </c>
      <c r="B19" s="79" t="s">
        <v>50</v>
      </c>
      <c r="C19" s="10">
        <f>'Balances Originales'!C16*C$3*C$5</f>
        <v>3677373.0914963931</v>
      </c>
      <c r="D19" s="10">
        <f>'Balances Originales'!D16*D$3*D$5</f>
        <v>3665017.0461210273</v>
      </c>
      <c r="E19" s="10">
        <f>'Balances Originales'!E16*E$3*E$5</f>
        <v>3838799.8075269642</v>
      </c>
      <c r="F19" s="10">
        <f>'Balances Originales'!F16*F$3*F$5</f>
        <v>3744387.0042938134</v>
      </c>
      <c r="G19" s="10">
        <f>'Balances Originales'!G16*G$3*G$5</f>
        <v>4498230.076095907</v>
      </c>
      <c r="H19" s="10">
        <f>'Balances Originales'!H16*H$3*H$5</f>
        <v>3766056.7029430629</v>
      </c>
      <c r="I19" s="10">
        <f>'Balances Originales'!I16*I$3*I$5</f>
        <v>3865833.576476038</v>
      </c>
      <c r="J19" s="10">
        <f>'Balances Originales'!J16*J$3*J$5</f>
        <v>3971120.601963006</v>
      </c>
      <c r="K19" s="10">
        <f>'Balances Originales'!K16*K$3*K$5</f>
        <v>4213716</v>
      </c>
      <c r="L19" s="10">
        <f>'Balances Originales'!L16*L$3*L$5</f>
        <v>4213716</v>
      </c>
    </row>
    <row r="20" spans="1:12">
      <c r="A20" s="8">
        <v>2210999</v>
      </c>
      <c r="B20" s="79" t="s">
        <v>52</v>
      </c>
      <c r="C20" s="10">
        <f>'Balances Originales'!C17*C$3*1</f>
        <v>700</v>
      </c>
      <c r="D20" s="10">
        <f>'Balances Originales'!D17*D$3*1</f>
        <v>700</v>
      </c>
      <c r="E20" s="10">
        <f>'Balances Originales'!E17*E$3*1</f>
        <v>700</v>
      </c>
      <c r="F20" s="10">
        <f>'Balances Originales'!F17*F$3*1</f>
        <v>700</v>
      </c>
      <c r="G20" s="10">
        <f>'Balances Originales'!G17*G$3*1</f>
        <v>700</v>
      </c>
      <c r="H20" s="10">
        <f>'Balances Originales'!H17*H$3*1</f>
        <v>700</v>
      </c>
      <c r="I20" s="10">
        <f>'Balances Originales'!I17*I$3*1</f>
        <v>700</v>
      </c>
      <c r="J20" s="10">
        <f>'Balances Originales'!J17*J$3*1</f>
        <v>700</v>
      </c>
      <c r="K20" s="10">
        <f>'Balances Originales'!K17*K$3*1</f>
        <v>700</v>
      </c>
      <c r="L20" s="10">
        <f>'Balances Originales'!L17*L$3*1</f>
        <v>700</v>
      </c>
    </row>
    <row r="21" spans="1:12" ht="15.75" customHeight="1">
      <c r="A21" s="8">
        <v>2210300</v>
      </c>
      <c r="B21" s="79" t="s">
        <v>54</v>
      </c>
      <c r="C21" s="10">
        <f>(('Balances Originales'!C18+'Balances Originales'!C17)*C$3*C$5)-C20</f>
        <v>179845.38471040787</v>
      </c>
      <c r="D21" s="10">
        <f>(('Balances Originales'!D18+'Balances Originales'!D17)*D$3*D$5)-D20</f>
        <v>179845.38091815179</v>
      </c>
      <c r="E21" s="10">
        <f>(('Balances Originales'!E18+'Balances Originales'!E17)*E$3*E$5)-E20</f>
        <v>179845.36962361683</v>
      </c>
      <c r="F21" s="10">
        <f>(('Balances Originales'!F18+'Balances Originales'!F17)*F$3*F$5)-F20</f>
        <v>179845.38078180709</v>
      </c>
      <c r="G21" s="10">
        <f>(('Balances Originales'!G18+'Balances Originales'!G17)*G$3*G$5)-G20</f>
        <v>179845.37379944179</v>
      </c>
      <c r="H21" s="10">
        <f>(('Balances Originales'!H18+'Balances Originales'!H17)*H$3*H$5)-H20</f>
        <v>179845.41593230833</v>
      </c>
      <c r="I21" s="10">
        <f>(('Balances Originales'!I18+'Balances Originales'!I17)*I$3*I$5)-I20</f>
        <v>177531.47113614451</v>
      </c>
      <c r="J21" s="10">
        <f>(('Balances Originales'!J18+'Balances Originales'!J17)*J$3*J$5)-J20</f>
        <v>180344.66772556349</v>
      </c>
      <c r="K21" s="10">
        <f>(('Balances Originales'!K18+'Balances Originales'!K17)*K$3*K$5)-K20</f>
        <v>181700</v>
      </c>
      <c r="L21" s="10">
        <f>(('Balances Originales'!L18+'Balances Originales'!L17)*L$3*L$5)-L20</f>
        <v>181700</v>
      </c>
    </row>
    <row r="22" spans="1:12" ht="15.75" customHeight="1">
      <c r="A22" s="8">
        <v>2210500</v>
      </c>
      <c r="B22" s="79" t="s">
        <v>56</v>
      </c>
      <c r="C22" s="10">
        <f>'Balances Originales'!C19*C$3*C$5</f>
        <v>0</v>
      </c>
      <c r="D22" s="10">
        <f>'Balances Originales'!D19*D$3*D$5</f>
        <v>0</v>
      </c>
      <c r="E22" s="10">
        <f>'Balances Originales'!E19*E$3*E$5</f>
        <v>0</v>
      </c>
      <c r="F22" s="10">
        <f>'Balances Originales'!F19*F$3*F$5</f>
        <v>0</v>
      </c>
      <c r="G22" s="10">
        <f>'Balances Originales'!G19*G$3*G$5</f>
        <v>0</v>
      </c>
      <c r="H22" s="10">
        <f>'Balances Originales'!H19*H$3*H$5</f>
        <v>0</v>
      </c>
      <c r="I22" s="10">
        <f>'Balances Originales'!I19*I$3*I$5</f>
        <v>0</v>
      </c>
      <c r="J22" s="10">
        <f>'Balances Originales'!J19*J$3*J$5</f>
        <v>0</v>
      </c>
      <c r="K22" s="10">
        <f>'Balances Originales'!K19*K$3*K$5</f>
        <v>0</v>
      </c>
      <c r="L22" s="10">
        <f>'Balances Originales'!L19*L$3*L$5</f>
        <v>0</v>
      </c>
    </row>
    <row r="23" spans="1:12" ht="15.75" customHeight="1">
      <c r="A23" s="8">
        <v>2210900</v>
      </c>
      <c r="B23" s="79" t="s">
        <v>58</v>
      </c>
      <c r="C23" s="10">
        <f>'Balances Originales'!C20*C$3*C$5</f>
        <v>-39.728844830834419</v>
      </c>
      <c r="D23" s="10">
        <f>'Balances Originales'!D20*D$3*D$5</f>
        <v>-39.736455219281716</v>
      </c>
      <c r="E23" s="10">
        <f>'Balances Originales'!E20*E$3*E$5</f>
        <v>-39.73023158805578</v>
      </c>
      <c r="F23" s="10">
        <f>'Balances Originales'!F20*F$3*F$5</f>
        <v>-39.733540981898699</v>
      </c>
      <c r="G23" s="10">
        <f>'Balances Originales'!G20*G$3*G$5</f>
        <v>-39.725511404502704</v>
      </c>
      <c r="H23" s="10">
        <f>'Balances Originales'!H20*H$3*H$5</f>
        <v>-40.248861545819906</v>
      </c>
      <c r="I23" s="10">
        <f>'Balances Originales'!I20*I$3*I$5</f>
        <v>-39.318904595944993</v>
      </c>
      <c r="J23" s="10">
        <f>'Balances Originales'!J20*J$3*J$5</f>
        <v>-40.26794210977836</v>
      </c>
      <c r="K23" s="10">
        <f>'Balances Originales'!K20*K$3*K$5</f>
        <v>-40</v>
      </c>
      <c r="L23" s="10">
        <f>'Balances Originales'!L20*L$3*L$5</f>
        <v>-40</v>
      </c>
    </row>
    <row r="24" spans="1:12" ht="15.75" customHeight="1">
      <c r="A24" s="8">
        <v>2211100</v>
      </c>
      <c r="B24" s="79" t="s">
        <v>60</v>
      </c>
      <c r="C24" s="10">
        <f>'Balances Originales'!C21*C$3*C$5</f>
        <v>36109.083563555709</v>
      </c>
      <c r="D24" s="10">
        <f>'Balances Originales'!D21*D$3*D$5</f>
        <v>36109.081047333559</v>
      </c>
      <c r="E24" s="10">
        <f>'Balances Originales'!E21*E$3*E$5</f>
        <v>36109.077146964373</v>
      </c>
      <c r="F24" s="10">
        <f>'Balances Originales'!F21*F$3*F$5</f>
        <v>36109.079464732858</v>
      </c>
      <c r="G24" s="10">
        <f>'Balances Originales'!G21*G$3*G$5</f>
        <v>36109.074228692116</v>
      </c>
      <c r="H24" s="10">
        <f>'Balances Originales'!H21*H$3*H$5</f>
        <v>36108.107456484802</v>
      </c>
      <c r="I24" s="10">
        <f>'Balances Originales'!I21*I$3*I$5</f>
        <v>35646.518906683734</v>
      </c>
      <c r="J24" s="10">
        <f>'Balances Originales'!J21*J$3*J$5</f>
        <v>36209.357418187537</v>
      </c>
      <c r="K24" s="10">
        <f>'Balances Originales'!K21*K$3*K$5</f>
        <v>36480</v>
      </c>
      <c r="L24" s="10">
        <f>'Balances Originales'!L21*L$3*L$5</f>
        <v>36480</v>
      </c>
    </row>
    <row r="25" spans="1:12" ht="15.75" customHeight="1">
      <c r="A25" s="8">
        <v>2211200</v>
      </c>
      <c r="B25" s="79" t="s">
        <v>62</v>
      </c>
      <c r="C25" s="10">
        <f>'Balances Originales'!C22*C$3*C$5</f>
        <v>442431.77186431957</v>
      </c>
      <c r="D25" s="10">
        <f>'Balances Originales'!D22*D$3*D$5</f>
        <v>334803.68623481801</v>
      </c>
      <c r="E25" s="10">
        <f>'Balances Originales'!E22*E$3*E$5</f>
        <v>326853.23634303414</v>
      </c>
      <c r="F25" s="10">
        <f>'Balances Originales'!F22*F$3*F$5</f>
        <v>524676.81830060075</v>
      </c>
      <c r="G25" s="10">
        <f>'Balances Originales'!G22*G$3*G$5</f>
        <v>636956.03983164451</v>
      </c>
      <c r="H25" s="10">
        <f>'Balances Originales'!H22*H$3*H$5</f>
        <v>615735.62156525056</v>
      </c>
      <c r="I25" s="10">
        <f>'Balances Originales'!I22*I$3*I$5</f>
        <v>607845.55031327787</v>
      </c>
      <c r="J25" s="10">
        <f>'Balances Originales'!J22*J$3*J$5</f>
        <v>946347.50434877223</v>
      </c>
      <c r="K25" s="10">
        <f>'Balances Originales'!K22*K$3*K$5</f>
        <v>953432</v>
      </c>
      <c r="L25" s="10">
        <f>'Balances Originales'!L22*L$3*L$5</f>
        <v>953432</v>
      </c>
    </row>
    <row r="26" spans="1:12" ht="15.75" customHeight="1">
      <c r="A26" s="8">
        <v>2211300</v>
      </c>
      <c r="B26" s="79" t="s">
        <v>64</v>
      </c>
      <c r="C26" s="10">
        <f>'Balances Originales'!C23*C$3*C$5</f>
        <v>357222.43801437883</v>
      </c>
      <c r="D26" s="10">
        <f>'Balances Originales'!D23*D$3*D$5</f>
        <v>382538.55001868494</v>
      </c>
      <c r="E26" s="10">
        <f>'Balances Originales'!E23*E$3*E$5</f>
        <v>484476.50179784099</v>
      </c>
      <c r="F26" s="10">
        <f>'Balances Originales'!F23*F$3*F$5</f>
        <v>499258.36067814875</v>
      </c>
      <c r="G26" s="10">
        <f>'Balances Originales'!G23*G$3*G$5</f>
        <v>600972.70241082832</v>
      </c>
      <c r="H26" s="10">
        <f>'Balances Originales'!H23*H$3*H$5</f>
        <v>531721.61156947142</v>
      </c>
      <c r="I26" s="10">
        <f>'Balances Originales'!I23*I$3*I$5</f>
        <v>531034.38508918812</v>
      </c>
      <c r="J26" s="10">
        <f>'Balances Originales'!J23*J$3*J$5</f>
        <v>554423.86252504785</v>
      </c>
      <c r="K26" s="10">
        <f>'Balances Originales'!K23*K$3*K$5</f>
        <v>592076</v>
      </c>
      <c r="L26" s="10">
        <f>'Balances Originales'!L23*L$3*L$5</f>
        <v>592076</v>
      </c>
    </row>
    <row r="27" spans="1:12" ht="15.75" customHeight="1">
      <c r="A27" s="8">
        <v>2212999</v>
      </c>
      <c r="B27" s="79" t="s">
        <v>66</v>
      </c>
      <c r="C27" s="10">
        <f>'Balances Originales'!C24*C$3*C$5</f>
        <v>-56120.138523769398</v>
      </c>
      <c r="D27" s="10">
        <f>'Balances Originales'!D24*D$3*D$5</f>
        <v>102715.76988288561</v>
      </c>
      <c r="E27" s="10">
        <f>'Balances Originales'!E24*E$3*E$5</f>
        <v>294987.97948891105</v>
      </c>
      <c r="F27" s="10">
        <f>'Balances Originales'!F24*F$3*F$5</f>
        <v>260732.20722307864</v>
      </c>
      <c r="G27" s="10">
        <f>'Balances Originales'!G24*G$3*G$5</f>
        <v>4180.0443628514176</v>
      </c>
      <c r="H27" s="10">
        <f>'Balances Originales'!H24*H$3*H$5</f>
        <v>364914.47371146956</v>
      </c>
      <c r="I27" s="10">
        <f>'Balances Originales'!I24*I$3*I$5</f>
        <v>394904.47359710734</v>
      </c>
      <c r="J27" s="10">
        <f>'Balances Originales'!J24*J$3*J$5</f>
        <v>30859.019531022514</v>
      </c>
      <c r="K27" s="10">
        <f>'Balances Originales'!K24*K$3*K$5</f>
        <v>40374</v>
      </c>
      <c r="L27" s="10">
        <f>'Balances Originales'!L24*L$3*L$5</f>
        <v>40374</v>
      </c>
    </row>
    <row r="28" spans="1:12" ht="15.75" customHeight="1">
      <c r="A28" s="8">
        <v>2213999</v>
      </c>
      <c r="B28" s="79" t="s">
        <v>68</v>
      </c>
      <c r="C28" s="10">
        <f>'Balances Originales'!C25*C$3*C$5</f>
        <v>30107.743585521945</v>
      </c>
      <c r="D28" s="10">
        <f>'Balances Originales'!D25*D$3*D$5</f>
        <v>26208.283609496255</v>
      </c>
      <c r="E28" s="10">
        <f>'Balances Originales'!E25*E$3*E$5</f>
        <v>-149146.77382300064</v>
      </c>
      <c r="F28" s="10">
        <f>'Balances Originales'!F25*F$3*F$5</f>
        <v>-201596.03545033076</v>
      </c>
      <c r="G28" s="10">
        <f>'Balances Originales'!G25*G$3*G$5</f>
        <v>36659.5900842017</v>
      </c>
      <c r="H28" s="10">
        <f>'Balances Originales'!H25*H$3*H$5</f>
        <v>-332882.47823335236</v>
      </c>
      <c r="I28" s="10">
        <f>'Balances Originales'!I25*I$3*I$5</f>
        <v>-330264.19444137375</v>
      </c>
      <c r="J28" s="10">
        <f>'Balances Originales'!J25*J$3*J$5</f>
        <v>-304720.234136938</v>
      </c>
      <c r="K28" s="10">
        <f>'Balances Originales'!K25*K$3*K$5</f>
        <v>-274005</v>
      </c>
      <c r="L28" s="10">
        <f>'Balances Originales'!L25*L$3*L$5</f>
        <v>-274005</v>
      </c>
    </row>
    <row r="29" spans="1:12" ht="15.75" customHeight="1">
      <c r="A29" s="8">
        <v>2299999</v>
      </c>
      <c r="B29" s="79" t="s">
        <v>70</v>
      </c>
      <c r="C29" s="10">
        <f>'Balances Originales'!C26*C$3*C$5</f>
        <v>990256.55436958373</v>
      </c>
      <c r="D29" s="10">
        <f>'Balances Originales'!D26*D$3*D$5</f>
        <v>1062881.0152561509</v>
      </c>
      <c r="E29" s="10">
        <f>'Balances Originales'!E26*E$3*E$5</f>
        <v>1173785.6603457788</v>
      </c>
      <c r="F29" s="10">
        <f>'Balances Originales'!F26*F$3*F$5</f>
        <v>1299686.0774570554</v>
      </c>
      <c r="G29" s="10">
        <f>'Balances Originales'!G26*G$3*G$5</f>
        <v>1495383.0992062555</v>
      </c>
      <c r="H29" s="10">
        <f>'Balances Originales'!H26*H$3*H$5</f>
        <v>1396102.5031400865</v>
      </c>
      <c r="I29" s="10">
        <f>'Balances Originales'!I26*I$3*I$5</f>
        <v>1417358.8856964319</v>
      </c>
      <c r="J29" s="10">
        <f>'Balances Originales'!J26*J$3*J$5</f>
        <v>1444123.9094695458</v>
      </c>
      <c r="K29" s="10">
        <f>'Balances Originales'!K26*K$3*K$5</f>
        <v>1530717</v>
      </c>
      <c r="L29" s="10">
        <f>'Balances Originales'!L26*L$3*L$5</f>
        <v>1530717</v>
      </c>
    </row>
    <row r="30" spans="1:12" ht="15.75" customHeight="1">
      <c r="A30" s="8">
        <v>2322200</v>
      </c>
      <c r="B30" s="79" t="s">
        <v>72</v>
      </c>
      <c r="C30" s="10">
        <f>'Balances Originales'!C27*C$3*C$5</f>
        <v>545079.91661590175</v>
      </c>
      <c r="D30" s="10">
        <f>'Balances Originales'!D27*D$3*D$5</f>
        <v>388270.57016184041</v>
      </c>
      <c r="E30" s="10">
        <f>'Balances Originales'!E27*E$3*E$5</f>
        <v>418455.34529296268</v>
      </c>
      <c r="F30" s="10">
        <f>'Balances Originales'!F27*F$3*F$5</f>
        <v>562577.215480958</v>
      </c>
      <c r="G30" s="10">
        <f>'Balances Originales'!G27*G$3*G$5</f>
        <v>548070.97431465739</v>
      </c>
      <c r="H30" s="10">
        <f>'Balances Originales'!H27*H$3*H$5</f>
        <v>808550.84195667855</v>
      </c>
      <c r="I30" s="10">
        <f>'Balances Originales'!I27*I$3*I$5</f>
        <v>921618.27276983811</v>
      </c>
      <c r="J30" s="10">
        <f>'Balances Originales'!J27*J$3*J$5</f>
        <v>922370.06418777339</v>
      </c>
      <c r="K30" s="10">
        <f>'Balances Originales'!K27*K$3*K$5</f>
        <v>653562</v>
      </c>
      <c r="L30" s="10">
        <f>'Balances Originales'!L27*L$3*L$5</f>
        <v>653562</v>
      </c>
    </row>
    <row r="31" spans="1:12" ht="15.75" customHeight="1">
      <c r="A31" s="8">
        <v>2321999</v>
      </c>
      <c r="B31" s="79" t="s">
        <v>74</v>
      </c>
      <c r="C31" s="10">
        <f>'Balances Originales'!C28*C$3*C$5</f>
        <v>695733.94751563296</v>
      </c>
      <c r="D31" s="10">
        <f>'Balances Originales'!D28*D$3*D$5</f>
        <v>785737.69785533985</v>
      </c>
      <c r="E31" s="10">
        <f>'Balances Originales'!E28*E$3*E$5</f>
        <v>885617.03838477237</v>
      </c>
      <c r="F31" s="10">
        <f>'Balances Originales'!F28*F$3*F$5</f>
        <v>1072234.6808520437</v>
      </c>
      <c r="G31" s="10">
        <f>'Balances Originales'!G28*G$3*G$5</f>
        <v>1300399.9521539707</v>
      </c>
      <c r="H31" s="10">
        <f>'Balances Originales'!H28*H$3*H$5</f>
        <v>831034.0999486678</v>
      </c>
      <c r="I31" s="10">
        <f>'Balances Originales'!I28*I$3*I$5</f>
        <v>845146.37352254766</v>
      </c>
      <c r="J31" s="10">
        <f>'Balances Originales'!J28*J$3*J$5</f>
        <v>886834.6649585811</v>
      </c>
      <c r="K31" s="10">
        <f>'Balances Originales'!K28*K$3*K$5</f>
        <v>942558</v>
      </c>
      <c r="L31" s="10">
        <f>'Balances Originales'!L28*L$3*L$5</f>
        <v>942558</v>
      </c>
    </row>
    <row r="32" spans="1:12" ht="15.75" customHeight="1">
      <c r="A32" s="8">
        <v>2322100</v>
      </c>
      <c r="B32" s="79" t="s">
        <v>76</v>
      </c>
      <c r="C32" s="10">
        <f>'Balances Originales'!C29*C$3*C$5</f>
        <v>24270.417521898133</v>
      </c>
      <c r="D32" s="10">
        <f>'Balances Originales'!D29*D$3*D$5</f>
        <v>16661.004439420693</v>
      </c>
      <c r="E32" s="10">
        <f>'Balances Originales'!E29*E$3*E$5</f>
        <v>26541.824712654226</v>
      </c>
      <c r="F32" s="10">
        <f>'Balances Originales'!F29*F$3*F$5</f>
        <v>11121.909413992133</v>
      </c>
      <c r="G32" s="10">
        <f>'Balances Originales'!G29*G$3*G$5</f>
        <v>15779.774173810412</v>
      </c>
      <c r="H32" s="10">
        <f>'Balances Originales'!H29*H$3*H$5</f>
        <v>132776.11558977552</v>
      </c>
      <c r="I32" s="10">
        <f>'Balances Originales'!I29*I$3*I$5</f>
        <v>120575.35283392492</v>
      </c>
      <c r="J32" s="10">
        <f>'Balances Originales'!J29*J$3*J$5</f>
        <v>52976.716576161831</v>
      </c>
      <c r="K32" s="10">
        <f>'Balances Originales'!K29*K$3*K$5</f>
        <v>65192</v>
      </c>
      <c r="L32" s="10">
        <f>'Balances Originales'!L29*L$3*L$5</f>
        <v>65192</v>
      </c>
    </row>
    <row r="33" spans="1:12" ht="15.75" customHeight="1">
      <c r="A33" s="8">
        <v>2322300</v>
      </c>
      <c r="B33" s="79" t="s">
        <v>78</v>
      </c>
      <c r="C33" s="10">
        <f>'Balances Originales'!C30*C$3*C$5</f>
        <v>25710.555039645187</v>
      </c>
      <c r="D33" s="10">
        <f>'Balances Originales'!D30*D$3*D$5</f>
        <v>32913.579401847608</v>
      </c>
      <c r="E33" s="10">
        <f>'Balances Originales'!E30*E$3*E$5</f>
        <v>37028.301949582587</v>
      </c>
      <c r="F33" s="10">
        <f>'Balances Originales'!F30*F$3*F$5</f>
        <v>27148.677988527455</v>
      </c>
      <c r="G33" s="10">
        <f>'Balances Originales'!G30*G$3*G$5</f>
        <v>25901.955061225988</v>
      </c>
      <c r="H33" s="10">
        <f>'Balances Originales'!H30*H$3*H$5</f>
        <v>22858.914033083536</v>
      </c>
      <c r="I33" s="10">
        <f>'Balances Originales'!I30*I$3*I$5</f>
        <v>17574.426957113243</v>
      </c>
      <c r="J33" s="10">
        <f>'Balances Originales'!J30*J$3*J$5</f>
        <v>18413.046371039705</v>
      </c>
      <c r="K33" s="10">
        <f>'Balances Originales'!K30*K$3*K$5</f>
        <v>18849</v>
      </c>
      <c r="L33" s="10">
        <f>'Balances Originales'!L30*L$3*L$5</f>
        <v>18849</v>
      </c>
    </row>
    <row r="34" spans="1:12" ht="15.75" customHeight="1">
      <c r="A34" s="8">
        <v>2339999</v>
      </c>
      <c r="B34" s="79" t="s">
        <v>80</v>
      </c>
      <c r="C34" s="10">
        <f>'Balances Originales'!C31*C$3*C$5</f>
        <v>1290794.836693078</v>
      </c>
      <c r="D34" s="10">
        <f>'Balances Originales'!D31*D$3*D$5</f>
        <v>1223582.8518584485</v>
      </c>
      <c r="E34" s="10">
        <f>'Balances Originales'!E31*E$3*E$5</f>
        <v>1367642.5103399719</v>
      </c>
      <c r="F34" s="10">
        <f>'Balances Originales'!F31*F$3*F$5</f>
        <v>1673082.4837355213</v>
      </c>
      <c r="G34" s="10">
        <f>'Balances Originales'!G31*G$3*G$5</f>
        <v>1890152.6557036645</v>
      </c>
      <c r="H34" s="10">
        <f>'Balances Originales'!H31*H$3*H$5</f>
        <v>1795219.9715282053</v>
      </c>
      <c r="I34" s="10">
        <f>'Balances Originales'!I31*I$3*I$5</f>
        <v>1904914.4260834239</v>
      </c>
      <c r="J34" s="10">
        <f>'Balances Originales'!J31*J$3*J$5</f>
        <v>1880594.4920935561</v>
      </c>
      <c r="K34" s="10">
        <f>'Balances Originales'!K31*K$3*K$5</f>
        <v>1680161</v>
      </c>
      <c r="L34" s="10">
        <f>'Balances Originales'!L31*L$3*L$5</f>
        <v>1680161</v>
      </c>
    </row>
    <row r="35" spans="1:12" ht="15.75" customHeight="1">
      <c r="A35" s="8">
        <v>2312300</v>
      </c>
      <c r="B35" s="79" t="s">
        <v>82</v>
      </c>
      <c r="C35" s="10">
        <f>'Balances Originales'!C32*C$3*C$5</f>
        <v>1251910.329137011</v>
      </c>
      <c r="D35" s="10">
        <f>'Balances Originales'!D32*D$3*D$5</f>
        <v>1162115.4436559451</v>
      </c>
      <c r="E35" s="10">
        <f>'Balances Originales'!E32*E$3*E$5</f>
        <v>956667.08198087919</v>
      </c>
      <c r="F35" s="10">
        <f>'Balances Originales'!F32*F$3*F$5</f>
        <v>501098.35280856886</v>
      </c>
      <c r="G35" s="10">
        <f>'Balances Originales'!G32*G$3*G$5</f>
        <v>833454.85976218968</v>
      </c>
      <c r="H35" s="10">
        <f>'Balances Originales'!H32*H$3*H$5</f>
        <v>316484.11630960845</v>
      </c>
      <c r="I35" s="10">
        <f>'Balances Originales'!I32*I$3*I$5</f>
        <v>270093.91303956206</v>
      </c>
      <c r="J35" s="10">
        <f>'Balances Originales'!J32*J$3*J$5</f>
        <v>346659.29584427219</v>
      </c>
      <c r="K35" s="10">
        <f>'Balances Originales'!K32*K$3*K$5</f>
        <v>722798</v>
      </c>
      <c r="L35" s="10">
        <f>'Balances Originales'!L32*L$3*L$5</f>
        <v>722798</v>
      </c>
    </row>
    <row r="36" spans="1:12" ht="15.75" customHeight="1">
      <c r="A36" s="8">
        <v>2311999</v>
      </c>
      <c r="B36" s="79" t="s">
        <v>84</v>
      </c>
      <c r="C36" s="10">
        <f>'Balances Originales'!C33*C$3*C$5</f>
        <v>8883.2703820624993</v>
      </c>
      <c r="D36" s="10">
        <f>'Balances Originales'!D33*D$3*D$5</f>
        <v>9529.7698385223885</v>
      </c>
      <c r="E36" s="10">
        <f>'Balances Originales'!E33*E$3*E$5</f>
        <v>13546.542851869879</v>
      </c>
      <c r="F36" s="10">
        <f>'Balances Originales'!F33*F$3*F$5</f>
        <v>9914.3538387720637</v>
      </c>
      <c r="G36" s="10">
        <f>'Balances Originales'!G33*G$3*G$5</f>
        <v>40292.252649406561</v>
      </c>
      <c r="H36" s="10">
        <f>'Balances Originales'!H33*H$3*H$5</f>
        <v>37275.324441313576</v>
      </c>
      <c r="I36" s="10">
        <f>'Balances Originales'!I33*I$3*I$5</f>
        <v>48835.202905437851</v>
      </c>
      <c r="J36" s="10">
        <f>'Balances Originales'!J33*J$3*J$5</f>
        <v>33941.636467794757</v>
      </c>
      <c r="K36" s="10">
        <f>'Balances Originales'!K33*K$3*K$5</f>
        <v>38062</v>
      </c>
      <c r="L36" s="10">
        <f>'Balances Originales'!L33*L$3*L$5</f>
        <v>38062</v>
      </c>
    </row>
    <row r="37" spans="1:12" ht="15.75" customHeight="1">
      <c r="A37" s="8">
        <v>2312200</v>
      </c>
      <c r="B37" s="79" t="s">
        <v>86</v>
      </c>
      <c r="C37" s="10">
        <f>'Balances Originales'!C34*C$3*C$5</f>
        <v>58357.567742529907</v>
      </c>
      <c r="D37" s="10">
        <f>'Balances Originales'!D34*D$3*D$5</f>
        <v>84279.902868358404</v>
      </c>
      <c r="E37" s="10">
        <f>'Balances Originales'!E34*E$3*E$5</f>
        <v>217494.74277978909</v>
      </c>
      <c r="F37" s="10">
        <f>'Balances Originales'!F34*F$3*F$5</f>
        <v>184767.10259484823</v>
      </c>
      <c r="G37" s="10">
        <f>'Balances Originales'!G34*G$3*G$5</f>
        <v>166625.41861706457</v>
      </c>
      <c r="H37" s="10">
        <f>'Balances Originales'!H34*H$3*H$5</f>
        <v>163470.14133711203</v>
      </c>
      <c r="I37" s="10">
        <f>'Balances Originales'!I34*I$3*I$5</f>
        <v>165916.79021669453</v>
      </c>
      <c r="J37" s="10">
        <f>'Balances Originales'!J34*J$3*J$5</f>
        <v>206296.90615914293</v>
      </c>
      <c r="K37" s="10">
        <f>'Balances Originales'!K34*K$3*K$5</f>
        <v>179117</v>
      </c>
      <c r="L37" s="10">
        <f>'Balances Originales'!L34*L$3*L$5</f>
        <v>179117</v>
      </c>
    </row>
    <row r="38" spans="1:12" ht="15.75" customHeight="1">
      <c r="A38" s="8">
        <v>2312400</v>
      </c>
      <c r="B38" s="79" t="s">
        <v>88</v>
      </c>
      <c r="C38" s="10">
        <f>'Balances Originales'!C35*C$3*C$5</f>
        <v>77170.533172128402</v>
      </c>
      <c r="D38" s="10">
        <f>'Balances Originales'!D35*D$3*D$5</f>
        <v>122628.06264360195</v>
      </c>
      <c r="E38" s="10">
        <f>'Balances Originales'!E35*E$3*E$5</f>
        <v>109663.26922867539</v>
      </c>
      <c r="F38" s="10">
        <f>'Balances Originales'!F35*F$3*F$5</f>
        <v>75838.633859047608</v>
      </c>
      <c r="G38" s="10">
        <f>'Balances Originales'!G35*G$3*G$5</f>
        <v>72321.790157325828</v>
      </c>
      <c r="H38" s="10">
        <f>'Balances Originales'!H35*H$3*H$5</f>
        <v>57504.646186736878</v>
      </c>
      <c r="I38" s="10">
        <f>'Balances Originales'!I35*I$3*I$5</f>
        <v>58714.358534487576</v>
      </c>
      <c r="J38" s="10">
        <f>'Balances Originales'!J35*J$3*J$5</f>
        <v>59504.361928694321</v>
      </c>
      <c r="K38" s="10">
        <f>'Balances Originales'!K35*K$3*K$5</f>
        <v>62861</v>
      </c>
      <c r="L38" s="10">
        <f>'Balances Originales'!L35*L$3*L$5</f>
        <v>62861</v>
      </c>
    </row>
    <row r="39" spans="1:12" ht="15.75" customHeight="1">
      <c r="A39" s="8">
        <v>2319999</v>
      </c>
      <c r="B39" s="79" t="s">
        <v>90</v>
      </c>
      <c r="C39" s="10">
        <f>'Balances Originales'!C36*C$3*C$5</f>
        <v>1396321.7004337318</v>
      </c>
      <c r="D39" s="10">
        <f>'Balances Originales'!D36*D$3*D$5</f>
        <v>1378553.1790064278</v>
      </c>
      <c r="E39" s="10">
        <f>'Balances Originales'!E36*E$3*E$5</f>
        <v>1297371.6368412136</v>
      </c>
      <c r="F39" s="10">
        <f>'Balances Originales'!F36*F$3*F$5</f>
        <v>771618.44310123683</v>
      </c>
      <c r="G39" s="10">
        <f>'Balances Originales'!G36*G$3*G$5</f>
        <v>1112694.3211859865</v>
      </c>
      <c r="H39" s="10">
        <f>'Balances Originales'!H36*H$3*H$5</f>
        <v>574734.2282747709</v>
      </c>
      <c r="I39" s="10">
        <f>'Balances Originales'!I36*I$3*I$5</f>
        <v>543560.26469618198</v>
      </c>
      <c r="J39" s="10">
        <f>'Balances Originales'!J36*J$3*J$5</f>
        <v>646402.20039990416</v>
      </c>
      <c r="K39" s="10">
        <f>'Balances Originales'!K36*K$3*K$5</f>
        <v>1002838</v>
      </c>
      <c r="L39" s="10">
        <f>'Balances Originales'!L36*L$3*L$5</f>
        <v>1002838</v>
      </c>
    </row>
    <row r="40" spans="1:12" ht="15.75" customHeight="1">
      <c r="A40" s="8">
        <v>2399999</v>
      </c>
      <c r="B40" s="79" t="s">
        <v>92</v>
      </c>
      <c r="C40" s="10">
        <f>'Balances Originales'!C37*C$3*C$5</f>
        <v>2687116.5371268098</v>
      </c>
      <c r="D40" s="10">
        <f>'Balances Originales'!D37*D$3*D$5</f>
        <v>2602136.0308648762</v>
      </c>
      <c r="E40" s="10">
        <f>'Balances Originales'!E37*E$3*E$5</f>
        <v>2665014.1471811854</v>
      </c>
      <c r="F40" s="10">
        <f>'Balances Originales'!F37*F$3*F$5</f>
        <v>2444700.9268367579</v>
      </c>
      <c r="G40" s="10">
        <f>'Balances Originales'!G37*G$3*G$5</f>
        <v>3002846.9768896513</v>
      </c>
      <c r="H40" s="10">
        <f>'Balances Originales'!H37*H$3*H$5</f>
        <v>2369954.1998029761</v>
      </c>
      <c r="I40" s="10">
        <f>'Balances Originales'!I37*I$3*I$5</f>
        <v>2448474.6907796059</v>
      </c>
      <c r="J40" s="10">
        <f>'Balances Originales'!J37*J$3*J$5</f>
        <v>2526996.6924934601</v>
      </c>
      <c r="K40" s="10">
        <f>'Balances Originales'!K37*K$3*K$5</f>
        <v>2682999</v>
      </c>
      <c r="L40" s="10">
        <f>'Balances Originales'!L37*L$3*L$5</f>
        <v>2682999</v>
      </c>
    </row>
    <row r="41" spans="1:12" ht="15.75" customHeight="1">
      <c r="A41" s="8">
        <v>2999999</v>
      </c>
      <c r="B41" s="79" t="s">
        <v>94</v>
      </c>
      <c r="C41" s="10">
        <f>'Balances Originales'!C38*C$3*C$5</f>
        <v>3677373.0914963931</v>
      </c>
      <c r="D41" s="10">
        <f>'Balances Originales'!D38*D$3*D$5</f>
        <v>3665017.0461210273</v>
      </c>
      <c r="E41" s="10">
        <f>'Balances Originales'!E38*E$3*E$5</f>
        <v>3838799.8075269642</v>
      </c>
      <c r="F41" s="10">
        <f>'Balances Originales'!F38*F$3*F$5</f>
        <v>3744387.0042938134</v>
      </c>
      <c r="G41" s="10">
        <f>'Balances Originales'!G38*G$3*G$5</f>
        <v>4498230.076095907</v>
      </c>
      <c r="H41" s="10">
        <f>'Balances Originales'!H38*H$3*H$5</f>
        <v>3766056.7029430629</v>
      </c>
      <c r="I41" s="10">
        <f>'Balances Originales'!I38*I$3*I$5</f>
        <v>3865833.576476038</v>
      </c>
      <c r="J41" s="10">
        <f>'Balances Originales'!J38*J$3*J$5</f>
        <v>3971120.601963006</v>
      </c>
      <c r="K41" s="10">
        <f>'Balances Originales'!K38*K$3*K$5</f>
        <v>4213716</v>
      </c>
      <c r="L41" s="10">
        <f>'Balances Originales'!L38*L$3*L$5</f>
        <v>4213716</v>
      </c>
    </row>
    <row r="42" spans="1:12" ht="15.75" customHeight="1">
      <c r="A42" s="8">
        <v>3000100</v>
      </c>
      <c r="B42" s="79" t="s">
        <v>96</v>
      </c>
      <c r="C42" s="10">
        <f>'Balances Originales'!C39*C$3*C$5</f>
        <v>4459899.9646169236</v>
      </c>
      <c r="D42" s="10">
        <f>'Balances Originales'!D39*D$3*D$5</f>
        <v>4304656.3708078647</v>
      </c>
      <c r="E42" s="10">
        <f>'Balances Originales'!E39*E$3*E$5</f>
        <v>4852470.4273377899</v>
      </c>
      <c r="F42" s="10">
        <f>'Balances Originales'!F39*F$3*F$5</f>
        <v>5170009.5737590725</v>
      </c>
      <c r="G42" s="10">
        <f>'Balances Originales'!G39*G$3*G$5</f>
        <v>5086812.254185441</v>
      </c>
      <c r="H42" s="10">
        <f>'Balances Originales'!H39*H$3*H$5</f>
        <v>4805050.5721866265</v>
      </c>
      <c r="I42" s="10">
        <f>'Balances Originales'!I39*I$3*I$5</f>
        <v>1125065.5191219992</v>
      </c>
      <c r="J42" s="10">
        <f>'Balances Originales'!J39*J$3*J$5</f>
        <v>2269734.3474982702</v>
      </c>
      <c r="K42" s="10">
        <f>'Balances Originales'!K39*K$3*K$5</f>
        <v>3509495</v>
      </c>
      <c r="L42" s="10">
        <f>'Balances Originales'!L39*L$3*L$5</f>
        <v>5651395</v>
      </c>
    </row>
    <row r="43" spans="1:12" ht="15.75" customHeight="1">
      <c r="A43" s="8">
        <v>3000200</v>
      </c>
      <c r="B43" s="79" t="s">
        <v>98</v>
      </c>
      <c r="C43" s="10">
        <f>'Balances Originales'!C40*C$3*C$5</f>
        <v>-3168640.3335466958</v>
      </c>
      <c r="D43" s="10">
        <f>'Balances Originales'!D40*D$3*D$5</f>
        <v>-2889244.6870451109</v>
      </c>
      <c r="E43" s="10">
        <f>'Balances Originales'!E40*E$3*E$5</f>
        <v>-3433667.768229065</v>
      </c>
      <c r="F43" s="10">
        <f>'Balances Originales'!F40*F$3*F$5</f>
        <v>-3652079.0906384126</v>
      </c>
      <c r="G43" s="10">
        <f>'Balances Originales'!G40*G$3*G$5</f>
        <v>-3655445.9706775164</v>
      </c>
      <c r="H43" s="10">
        <f>'Balances Originales'!H40*H$3*H$5</f>
        <v>-3413477.8954641516</v>
      </c>
      <c r="I43" s="10">
        <f>'Balances Originales'!I40*I$3*I$5</f>
        <v>-788072.17500834807</v>
      </c>
      <c r="J43" s="10">
        <f>'Balances Originales'!J40*J$3*J$5</f>
        <v>-1613259.8631574858</v>
      </c>
      <c r="K43" s="10">
        <f>'Balances Originales'!K40*K$3*K$5</f>
        <v>-2472049</v>
      </c>
      <c r="L43" s="10">
        <f>'Balances Originales'!L40*L$3*L$5</f>
        <v>-3994448</v>
      </c>
    </row>
    <row r="44" spans="1:12" ht="15.75" customHeight="1">
      <c r="A44" s="8">
        <v>3009999</v>
      </c>
      <c r="B44" s="79" t="s">
        <v>260</v>
      </c>
      <c r="C44" s="10">
        <f>'Balances Originales'!C41*C$3*C$5</f>
        <v>1291259.6310702281</v>
      </c>
      <c r="D44" s="10">
        <f>'Balances Originales'!D41*D$3*D$5</f>
        <v>1415411.6837627531</v>
      </c>
      <c r="E44" s="10">
        <f>'Balances Originales'!E41*E$3*E$5</f>
        <v>1418802.6591087247</v>
      </c>
      <c r="F44" s="10">
        <f>'Balances Originales'!F41*F$3*F$5</f>
        <v>1517930.4831206589</v>
      </c>
      <c r="G44" s="10">
        <f>'Balances Originales'!G41*G$3*G$5</f>
        <v>1431366.2835079241</v>
      </c>
      <c r="H44" s="10">
        <f>'Balances Originales'!H41*H$3*H$5</f>
        <v>1391572.6767224751</v>
      </c>
      <c r="I44" s="10">
        <f>'Balances Originales'!I41*I$3*I$5</f>
        <v>336993.3441136512</v>
      </c>
      <c r="J44" s="10">
        <f>'Balances Originales'!J41*J$3*J$5</f>
        <v>656474.48434078426</v>
      </c>
      <c r="K44" s="10">
        <f>'Balances Originales'!K41*K$3*K$5</f>
        <v>1037446</v>
      </c>
      <c r="L44" s="10">
        <f>'Balances Originales'!L41*L$3*L$5</f>
        <v>1656947</v>
      </c>
    </row>
    <row r="45" spans="1:12" ht="15.75" customHeight="1">
      <c r="A45" s="8">
        <v>3011301</v>
      </c>
      <c r="B45" s="79" t="s">
        <v>261</v>
      </c>
      <c r="C45" s="10">
        <f>'Balances Originales'!C42*C$3*C$5</f>
        <v>-11165.030370180091</v>
      </c>
      <c r="D45" s="10">
        <f>'Balances Originales'!D42*D$3*D$5</f>
        <v>-16761.804688431661</v>
      </c>
      <c r="E45" s="10">
        <f>'Balances Originales'!E42*E$3*E$5</f>
        <v>-15298.926399870546</v>
      </c>
      <c r="F45" s="10">
        <f>'Balances Originales'!F42*F$3*F$5</f>
        <v>-16594.278340245768</v>
      </c>
      <c r="G45" s="10">
        <f>'Balances Originales'!G42*G$3*G$5</f>
        <v>-12374.022709851277</v>
      </c>
      <c r="H45" s="10">
        <f>'Balances Originales'!H42*H$3*H$5</f>
        <v>-8591.3024463259226</v>
      </c>
      <c r="I45" s="10">
        <f>'Balances Originales'!I42*I$3*I$5</f>
        <v>-2245.6711510655441</v>
      </c>
      <c r="J45" s="10">
        <f>'Balances Originales'!J42*J$3*J$5</f>
        <v>-2972.4099373139024</v>
      </c>
      <c r="K45" s="10">
        <f>'Balances Originales'!K42*K$3*K$5</f>
        <v>-5249</v>
      </c>
      <c r="L45" s="10">
        <f>'Balances Originales'!L42*L$3*L$5</f>
        <v>-8054</v>
      </c>
    </row>
    <row r="46" spans="1:12" ht="15.75" customHeight="1">
      <c r="A46" s="8">
        <v>3011300</v>
      </c>
      <c r="B46" s="79" t="s">
        <v>262</v>
      </c>
      <c r="C46" s="10">
        <f>'Balances Originales'!C43*C$3*C$5</f>
        <v>-181785.15642072476</v>
      </c>
      <c r="D46" s="10">
        <f>'Balances Originales'!D43*D$3*D$5</f>
        <v>-161787.70698078687</v>
      </c>
      <c r="E46" s="10">
        <f>'Balances Originales'!E43*E$3*E$5</f>
        <v>-179643.36769916877</v>
      </c>
      <c r="F46" s="10">
        <f>'Balances Originales'!F43*F$3*F$5</f>
        <v>-223178.1799905232</v>
      </c>
      <c r="G46" s="10">
        <f>'Balances Originales'!G43*G$3*G$5</f>
        <v>-236466.0176599308</v>
      </c>
      <c r="H46" s="10">
        <f>'Balances Originales'!H43*H$3*H$5</f>
        <v>-184083.65676092723</v>
      </c>
      <c r="I46" s="10">
        <f>'Balances Originales'!I43*I$3*I$5</f>
        <v>-41244.407523872127</v>
      </c>
      <c r="J46" s="10">
        <f>'Balances Originales'!J43*J$3*J$5</f>
        <v>-92386.315709389644</v>
      </c>
      <c r="K46" s="10">
        <f>'Balances Originales'!K43*K$3*K$5</f>
        <v>-142918</v>
      </c>
      <c r="L46" s="10">
        <f>'Balances Originales'!L43*L$3*L$5</f>
        <v>-230101</v>
      </c>
    </row>
    <row r="47" spans="1:12" ht="15.75" customHeight="1">
      <c r="A47" s="8">
        <v>3011200</v>
      </c>
      <c r="B47" s="79" t="s">
        <v>263</v>
      </c>
      <c r="C47" s="10">
        <f>'Balances Originales'!C44*C$3*C$5</f>
        <v>-746208.18679312174</v>
      </c>
      <c r="D47" s="10">
        <f>'Balances Originales'!D44*D$3*D$5</f>
        <v>-658769.19351228687</v>
      </c>
      <c r="E47" s="10">
        <f>'Balances Originales'!E44*E$3*E$5</f>
        <v>-723243.98024335981</v>
      </c>
      <c r="F47" s="10">
        <f>'Balances Originales'!F44*F$3*F$5</f>
        <v>-746376.53672062478</v>
      </c>
      <c r="G47" s="10">
        <f>'Balances Originales'!G44*G$3*G$5</f>
        <v>-759949.38641364151</v>
      </c>
      <c r="H47" s="10">
        <f>'Balances Originales'!H44*H$3*H$5</f>
        <v>-741810.91153888265</v>
      </c>
      <c r="I47" s="10">
        <f>'Balances Originales'!I44*I$3*I$5</f>
        <v>-168027.65369485968</v>
      </c>
      <c r="J47" s="10">
        <f>'Balances Originales'!J44*J$3*J$5</f>
        <v>-346839.44190107909</v>
      </c>
      <c r="K47" s="10">
        <f>'Balances Originales'!K44*K$3*K$5</f>
        <v>-527364</v>
      </c>
      <c r="L47" s="10">
        <f>'Balances Originales'!L44*L$3*L$5</f>
        <v>-854669</v>
      </c>
    </row>
    <row r="48" spans="1:12" ht="15.75" customHeight="1">
      <c r="A48" s="8">
        <v>3011400</v>
      </c>
      <c r="B48" s="79" t="s">
        <v>108</v>
      </c>
      <c r="C48" s="10">
        <f>'Balances Originales'!C45*C$3*C$5</f>
        <v>0</v>
      </c>
      <c r="D48" s="10">
        <f>'Balances Originales'!D45*D$3*D$5</f>
        <v>0</v>
      </c>
      <c r="E48" s="10">
        <f>'Balances Originales'!E45*E$3*E$5</f>
        <v>0</v>
      </c>
      <c r="F48" s="10">
        <f>'Balances Originales'!F45*F$3*F$5</f>
        <v>0</v>
      </c>
      <c r="G48" s="10">
        <f>'Balances Originales'!G45*G$3*G$5</f>
        <v>0</v>
      </c>
      <c r="H48" s="10">
        <f>'Balances Originales'!H45*H$3*H$5</f>
        <v>0</v>
      </c>
      <c r="I48" s="10">
        <f>'Balances Originales'!I45*I$3*I$5</f>
        <v>0</v>
      </c>
      <c r="J48" s="10">
        <f>'Balances Originales'!J45*J$3*J$5</f>
        <v>0</v>
      </c>
      <c r="K48" s="10">
        <f>'Balances Originales'!K45*K$3*K$5</f>
        <v>0</v>
      </c>
      <c r="L48" s="10">
        <f>'Balances Originales'!L45*L$3*L$5</f>
        <v>0</v>
      </c>
    </row>
    <row r="49" spans="1:12" ht="15.75" customHeight="1">
      <c r="A49" s="8">
        <v>3011100</v>
      </c>
      <c r="B49" s="79" t="s">
        <v>110</v>
      </c>
      <c r="C49" s="10">
        <f>'Balances Originales'!C46*C$3*C$5</f>
        <v>13685.825574696533</v>
      </c>
      <c r="D49" s="10">
        <f>'Balances Originales'!D46*D$3*D$5</f>
        <v>-13385.373283562927</v>
      </c>
      <c r="E49" s="10">
        <f>'Balances Originales'!E46*E$3*E$5</f>
        <v>-14688.360063093358</v>
      </c>
      <c r="F49" s="10">
        <f>'Balances Originales'!F46*F$3*F$5</f>
        <v>-49498.397786272799</v>
      </c>
      <c r="G49" s="10">
        <f>'Balances Originales'!G46*G$3*G$5</f>
        <v>-6752.8269903674072</v>
      </c>
      <c r="H49" s="10">
        <f>'Balances Originales'!H46*H$3*H$5</f>
        <v>-69693.952922764889</v>
      </c>
      <c r="I49" s="10">
        <f>'Balances Originales'!I46*I$3*I$5</f>
        <v>-5866.3805657149933</v>
      </c>
      <c r="J49" s="10">
        <f>'Balances Originales'!J46*J$3*J$5</f>
        <v>-15440.636433725802</v>
      </c>
      <c r="K49" s="10">
        <f>'Balances Originales'!K46*K$3*K$5</f>
        <v>-23816</v>
      </c>
      <c r="L49" s="10">
        <f>'Balances Originales'!L46*L$3*L$5</f>
        <v>-38387</v>
      </c>
    </row>
    <row r="50" spans="1:12" ht="15.75" customHeight="1">
      <c r="A50" s="8">
        <v>3011600</v>
      </c>
      <c r="B50" s="79" t="s">
        <v>112</v>
      </c>
      <c r="C50" s="10">
        <f>'Balances Originales'!C47*C$3*C$5</f>
        <v>-148943.70412976379</v>
      </c>
      <c r="D50" s="10">
        <f>'Balances Originales'!D47*D$3*D$5</f>
        <v>-123044.03086057003</v>
      </c>
      <c r="E50" s="10">
        <f>'Balances Originales'!E47*E$3*E$5</f>
        <v>-130718.35862574213</v>
      </c>
      <c r="F50" s="10">
        <f>'Balances Originales'!F47*F$3*F$5</f>
        <v>-131359.59101280154</v>
      </c>
      <c r="G50" s="10">
        <f>'Balances Originales'!G47*G$3*G$5</f>
        <v>-128520.19919186003</v>
      </c>
      <c r="H50" s="10">
        <f>'Balances Originales'!H47*H$3*H$5</f>
        <v>-132177.26131647258</v>
      </c>
      <c r="I50" s="10">
        <f>'Balances Originales'!I47*I$3*I$5</f>
        <v>-29776.768149146232</v>
      </c>
      <c r="J50" s="10">
        <f>'Balances Originales'!J47*J$3*J$5</f>
        <v>-63940.193656892538</v>
      </c>
      <c r="K50" s="10">
        <f>'Balances Originales'!K47*K$3*K$5</f>
        <v>-100525</v>
      </c>
      <c r="L50" s="10">
        <f>'Balances Originales'!L47*L$3*L$5</f>
        <v>-160864</v>
      </c>
    </row>
    <row r="51" spans="1:12" ht="15.75" customHeight="1">
      <c r="A51" s="8">
        <v>3019999</v>
      </c>
      <c r="B51" s="79" t="s">
        <v>264</v>
      </c>
      <c r="C51" s="10">
        <f>'Balances Originales'!C48*C$3*C$5</f>
        <v>216843.37893113421</v>
      </c>
      <c r="D51" s="10">
        <f>'Balances Originales'!D48*D$3*D$5</f>
        <v>441663.57443711482</v>
      </c>
      <c r="E51" s="10">
        <f>'Balances Originales'!E48*E$3*E$5</f>
        <v>355209.66607748996</v>
      </c>
      <c r="F51" s="10">
        <f>'Balances Originales'!F48*F$3*F$5</f>
        <v>350923.49927019089</v>
      </c>
      <c r="G51" s="10">
        <f>'Balances Originales'!G48*G$3*G$5</f>
        <v>287303.83054227318</v>
      </c>
      <c r="H51" s="10">
        <f>'Balances Originales'!H48*H$3*H$5</f>
        <v>255215.59173710187</v>
      </c>
      <c r="I51" s="10">
        <f>'Balances Originales'!I48*I$3*I$5</f>
        <v>89832.463028992614</v>
      </c>
      <c r="J51" s="10">
        <f>'Balances Originales'!J48*J$3*J$5</f>
        <v>134895.48670238329</v>
      </c>
      <c r="K51" s="10">
        <f>'Balances Originales'!K48*K$3*K$5</f>
        <v>237574</v>
      </c>
      <c r="L51" s="10">
        <f>'Balances Originales'!L48*L$3*L$5</f>
        <v>364872</v>
      </c>
    </row>
    <row r="52" spans="1:12" ht="15.75" customHeight="1">
      <c r="A52" s="8">
        <v>3021400</v>
      </c>
      <c r="B52" s="79" t="s">
        <v>116</v>
      </c>
      <c r="C52" s="10">
        <f>'Balances Originales'!C49*C$3*C$5</f>
        <v>13412.391800148316</v>
      </c>
      <c r="D52" s="10">
        <f>'Balances Originales'!D49*D$3*D$5</f>
        <v>-34317.657562799664</v>
      </c>
      <c r="E52" s="10">
        <f>'Balances Originales'!E49*E$3*E$5</f>
        <v>-34834.278049476576</v>
      </c>
      <c r="F52" s="10">
        <f>'Balances Originales'!F49*F$3*F$5</f>
        <v>-115193.05201589879</v>
      </c>
      <c r="G52" s="10">
        <f>'Balances Originales'!G49*G$3*G$5</f>
        <v>-79911.928513463543</v>
      </c>
      <c r="H52" s="10">
        <f>'Balances Originales'!H49*H$3*H$5</f>
        <v>-101934.51068343772</v>
      </c>
      <c r="I52" s="10">
        <f>'Balances Originales'!I49*I$3*I$5</f>
        <v>8688.3545184296745</v>
      </c>
      <c r="J52" s="10">
        <f>'Balances Originales'!J49*J$3*J$5</f>
        <v>8008.0220664103963</v>
      </c>
      <c r="K52" s="10">
        <f>'Balances Originales'!K49*K$3*K$5</f>
        <v>14536</v>
      </c>
      <c r="L52" s="10">
        <f>'Balances Originales'!L49*L$3*L$5</f>
        <v>22093</v>
      </c>
    </row>
    <row r="53" spans="1:12" ht="15.75" customHeight="1">
      <c r="A53" s="8">
        <v>3021500</v>
      </c>
      <c r="B53" s="79" t="s">
        <v>118</v>
      </c>
      <c r="C53" s="10">
        <f>'Balances Originales'!C50*C$3*C$5</f>
        <v>-154423.20573094455</v>
      </c>
      <c r="D53" s="10">
        <f>'Balances Originales'!D50*D$3*D$5</f>
        <v>-134042.73634233934</v>
      </c>
      <c r="E53" s="10">
        <f>'Balances Originales'!E50*E$3*E$5</f>
        <v>-41230.571444668152</v>
      </c>
      <c r="F53" s="10">
        <f>'Balances Originales'!F50*F$3*F$5</f>
        <v>-1963.42746880765</v>
      </c>
      <c r="G53" s="10">
        <f>'Balances Originales'!G50*G$3*G$5</f>
        <v>194147.91797580651</v>
      </c>
      <c r="H53" s="10">
        <f>'Balances Originales'!H50*H$3*H$5</f>
        <v>-91997.92053150454</v>
      </c>
      <c r="I53" s="10">
        <f>'Balances Originales'!I50*I$3*I$5</f>
        <v>-31000.147780717205</v>
      </c>
      <c r="J53" s="10">
        <f>'Balances Originales'!J50*J$3*J$5</f>
        <v>-68084.612646138412</v>
      </c>
      <c r="K53" s="10">
        <f>'Balances Originales'!K50*K$3*K$5</f>
        <v>-98058</v>
      </c>
      <c r="L53" s="10">
        <f>'Balances Originales'!L50*L$3*L$5</f>
        <v>-162308</v>
      </c>
    </row>
    <row r="54" spans="1:12" ht="15.75" customHeight="1">
      <c r="A54" s="8">
        <v>3021800</v>
      </c>
      <c r="B54" s="79" t="s">
        <v>120</v>
      </c>
      <c r="C54" s="10">
        <f>'Balances Originales'!C51*C$3*C$5</f>
        <v>33017.484180932253</v>
      </c>
      <c r="D54" s="10">
        <f>'Balances Originales'!D51*D$3*D$5</f>
        <v>47101.804174155557</v>
      </c>
      <c r="E54" s="10">
        <f>'Balances Originales'!E51*E$3*E$5</f>
        <v>79245.765257967825</v>
      </c>
      <c r="F54" s="10">
        <f>'Balances Originales'!F51*F$3*F$5</f>
        <v>176580.56228192974</v>
      </c>
      <c r="G54" s="10">
        <f>'Balances Originales'!G51*G$3*G$5</f>
        <v>272148.33679094678</v>
      </c>
      <c r="H54" s="10">
        <f>'Balances Originales'!H51*H$3*H$5</f>
        <v>177337.70363335361</v>
      </c>
      <c r="I54" s="10">
        <f>'Balances Originales'!I51*I$3*I$5</f>
        <v>12502.288264236338</v>
      </c>
      <c r="J54" s="10">
        <f>'Balances Originales'!J51*J$3*J$5</f>
        <v>26430.605581633994</v>
      </c>
      <c r="K54" s="10">
        <f>'Balances Originales'!K51*K$3*K$5</f>
        <v>37780</v>
      </c>
      <c r="L54" s="10">
        <f>'Balances Originales'!L51*L$3*L$5</f>
        <v>62722</v>
      </c>
    </row>
    <row r="55" spans="1:12" ht="15.75" customHeight="1">
      <c r="A55" s="8">
        <v>3021900</v>
      </c>
      <c r="B55" s="79" t="s">
        <v>122</v>
      </c>
      <c r="C55" s="10">
        <f>'Balances Originales'!C52*C$3*C$5</f>
        <v>-11111.164678063617</v>
      </c>
      <c r="D55" s="10">
        <f>'Balances Originales'!D52*D$3*D$5</f>
        <v>-57596.240907193533</v>
      </c>
      <c r="E55" s="10">
        <f>'Balances Originales'!E52*E$3*E$5</f>
        <v>195353.83872016068</v>
      </c>
      <c r="F55" s="10">
        <f>'Balances Originales'!F52*F$3*F$5</f>
        <v>57053.287282208017</v>
      </c>
      <c r="G55" s="10">
        <f>'Balances Originales'!G52*G$3*G$5</f>
        <v>-487296.70534505876</v>
      </c>
      <c r="H55" s="10">
        <f>'Balances Originales'!H52*H$3*H$5</f>
        <v>425415.83058966341</v>
      </c>
      <c r="I55" s="10">
        <f>'Balances Originales'!I52*I$3*I$5</f>
        <v>470.70345787717008</v>
      </c>
      <c r="J55" s="10">
        <f>'Balances Originales'!J52*J$3*J$5</f>
        <v>-9249.970175690929</v>
      </c>
      <c r="K55" s="10">
        <f>'Balances Originales'!K52*K$3*K$5</f>
        <v>-47514</v>
      </c>
      <c r="L55" s="10">
        <f>'Balances Originales'!L52*L$3*L$5</f>
        <v>-56243</v>
      </c>
    </row>
    <row r="56" spans="1:12" ht="15.75" customHeight="1">
      <c r="A56" s="8">
        <v>3029999</v>
      </c>
      <c r="B56" s="79" t="s">
        <v>265</v>
      </c>
      <c r="C56" s="10">
        <f>'Balances Originales'!C53*C$3*C$5</f>
        <v>97738.884503206617</v>
      </c>
      <c r="D56" s="10">
        <f>'Balances Originales'!D53*D$3*D$5</f>
        <v>262808.74379893782</v>
      </c>
      <c r="E56" s="10">
        <f>'Balances Originales'!E53*E$3*E$5</f>
        <v>553744.42056147382</v>
      </c>
      <c r="F56" s="10">
        <f>'Balances Originales'!F53*F$3*F$5</f>
        <v>467400.86934962217</v>
      </c>
      <c r="G56" s="10">
        <f>'Balances Originales'!G53*G$3*G$5</f>
        <v>186391.45145050413</v>
      </c>
      <c r="H56" s="10">
        <f>'Balances Originales'!H53*H$3*H$5</f>
        <v>664036.69474517659</v>
      </c>
      <c r="I56" s="10">
        <f>'Balances Originales'!I53*I$3*I$5</f>
        <v>80493.661488818601</v>
      </c>
      <c r="J56" s="10">
        <f>'Balances Originales'!J53*J$3*J$5</f>
        <v>91999.531528598352</v>
      </c>
      <c r="K56" s="10">
        <f>'Balances Originales'!K53*K$3*K$5</f>
        <v>144318</v>
      </c>
      <c r="L56" s="10">
        <f>'Balances Originales'!L53*L$3*L$5</f>
        <v>231136</v>
      </c>
    </row>
    <row r="57" spans="1:12" ht="15.75" customHeight="1">
      <c r="A57" s="8">
        <v>3031100</v>
      </c>
      <c r="B57" s="79" t="s">
        <v>126</v>
      </c>
      <c r="C57" s="10">
        <f>'Balances Originales'!C54*C$3*C$5</f>
        <v>-102509.32554626906</v>
      </c>
      <c r="D57" s="10">
        <f>'Balances Originales'!D54*D$3*D$5</f>
        <v>-130471.46498690949</v>
      </c>
      <c r="E57" s="10">
        <f>'Balances Originales'!E54*E$3*E$5</f>
        <v>-232835.01053175004</v>
      </c>
      <c r="F57" s="10">
        <f>'Balances Originales'!F54*F$3*F$5</f>
        <v>-174772.35533010945</v>
      </c>
      <c r="G57" s="10">
        <f>'Balances Originales'!G54*G$3*G$5</f>
        <v>-117198.22393102128</v>
      </c>
      <c r="H57" s="10">
        <f>'Balances Originales'!H54*H$3*H$5</f>
        <v>-287228.07261568174</v>
      </c>
      <c r="I57" s="10">
        <f>'Balances Originales'!I54*I$3*I$5</f>
        <v>-27009.840662865874</v>
      </c>
      <c r="J57" s="10">
        <f>'Balances Originales'!J54*J$3*J$5</f>
        <v>-29920.140670252418</v>
      </c>
      <c r="K57" s="10">
        <f>'Balances Originales'!K54*K$3*K$5</f>
        <v>-46546</v>
      </c>
      <c r="L57" s="10">
        <f>'Balances Originales'!L54*L$3*L$5</f>
        <v>-74781</v>
      </c>
    </row>
    <row r="58" spans="1:12" ht="15.75" customHeight="1">
      <c r="A58" s="8">
        <v>3032000</v>
      </c>
      <c r="B58" s="79" t="s">
        <v>266</v>
      </c>
      <c r="C58" s="10">
        <f>'Balances Originales'!C55*C$3*C$5</f>
        <v>0</v>
      </c>
      <c r="D58" s="10">
        <f>'Balances Originales'!D55*D$3*D$5</f>
        <v>0</v>
      </c>
      <c r="E58" s="10">
        <f>'Balances Originales'!E55*E$3*E$5</f>
        <v>0</v>
      </c>
      <c r="F58" s="10">
        <f>'Balances Originales'!F55*F$3*F$5</f>
        <v>292628.5140195128</v>
      </c>
      <c r="G58" s="10">
        <f>'Balances Originales'!G55*G$3*G$5</f>
        <v>69193.227519482854</v>
      </c>
      <c r="H58" s="10">
        <f>'Balances Originales'!H55*H$3*H$5</f>
        <v>376808.62212949491</v>
      </c>
      <c r="I58" s="10">
        <f>'Balances Originales'!I55*I$3*I$5</f>
        <v>53483.820825952724</v>
      </c>
      <c r="J58" s="10">
        <f>'Balances Originales'!J55*J$3*J$5</f>
        <v>62079.390858345934</v>
      </c>
      <c r="K58" s="10">
        <f>'Balances Originales'!K55*K$3*K$5</f>
        <v>97772</v>
      </c>
      <c r="L58" s="10">
        <f>'Balances Originales'!L55*L$3*L$5</f>
        <v>156355</v>
      </c>
    </row>
    <row r="59" spans="1:12" ht="15.75" customHeight="1">
      <c r="A59" s="8">
        <v>3041000</v>
      </c>
      <c r="B59" s="79" t="s">
        <v>267</v>
      </c>
      <c r="C59" s="10">
        <f>'Balances Originales'!C56*C$3*C$5</f>
        <v>0</v>
      </c>
      <c r="D59" s="10">
        <f>'Balances Originales'!D56*D$3*D$5</f>
        <v>0</v>
      </c>
      <c r="E59" s="10">
        <f>'Balances Originales'!E56*E$3*E$5</f>
        <v>0</v>
      </c>
      <c r="F59" s="10">
        <f>'Balances Originales'!F56*F$3*F$5</f>
        <v>0</v>
      </c>
      <c r="G59" s="10">
        <f>'Balances Originales'!G56*G$3*G$5</f>
        <v>0</v>
      </c>
      <c r="H59" s="10">
        <f>'Balances Originales'!H56*H$3*H$5</f>
        <v>0</v>
      </c>
      <c r="I59" s="10">
        <f>'Balances Originales'!I56*I$3*I$5</f>
        <v>0</v>
      </c>
      <c r="J59" s="10">
        <f>'Balances Originales'!J56*J$3*J$5</f>
        <v>0</v>
      </c>
      <c r="K59" s="10">
        <f>'Balances Originales'!K56*K$3*K$5</f>
        <v>0</v>
      </c>
      <c r="L59" s="10">
        <f>'Balances Originales'!L56*L$3*L$5</f>
        <v>0</v>
      </c>
    </row>
    <row r="60" spans="1:12" ht="15.75" customHeight="1">
      <c r="A60" s="8">
        <v>3049999</v>
      </c>
      <c r="B60" s="79" t="s">
        <v>268</v>
      </c>
      <c r="C60" s="10">
        <f>'Balances Originales'!C57*C$3*C$5</f>
        <v>-4770.441043062443</v>
      </c>
      <c r="D60" s="10">
        <f>'Balances Originales'!D57*D$3*D$5</f>
        <v>132337.27881202832</v>
      </c>
      <c r="E60" s="10">
        <f>'Balances Originales'!E57*E$3*E$5</f>
        <v>320909.41002972372</v>
      </c>
      <c r="F60" s="10">
        <f>'Balances Originales'!F57*F$3*F$5</f>
        <v>292628.5140195128</v>
      </c>
      <c r="G60" s="10">
        <f>'Balances Originales'!G57*G$3*G$5</f>
        <v>69193.227519482854</v>
      </c>
      <c r="H60" s="10">
        <f>'Balances Originales'!H57*H$3*H$5</f>
        <v>376808.62212949491</v>
      </c>
      <c r="I60" s="10">
        <f>'Balances Originales'!I57*I$3*I$5</f>
        <v>53483.820825952724</v>
      </c>
      <c r="J60" s="10">
        <f>'Balances Originales'!J57*J$3*J$5</f>
        <v>62079.390858345934</v>
      </c>
      <c r="K60" s="10">
        <f>'Balances Originales'!K57*K$3*K$5</f>
        <v>97772</v>
      </c>
      <c r="L60" s="10">
        <f>'Balances Originales'!L57*L$3*L$5</f>
        <v>156355</v>
      </c>
    </row>
    <row r="61" spans="1:12" ht="15.75" customHeight="1">
      <c r="A61" s="8">
        <v>3061999</v>
      </c>
      <c r="B61" s="79" t="s">
        <v>134</v>
      </c>
      <c r="C61" s="10">
        <f>'Balances Originales'!C58*C$3*C$5</f>
        <v>-13122.404340253916</v>
      </c>
      <c r="D61" s="10">
        <f>'Balances Originales'!D58*D$3*D$5</f>
        <v>-4902.4912423078931</v>
      </c>
      <c r="E61" s="10">
        <f>'Balances Originales'!E58*E$3*E$5</f>
        <v>-203380.21550601922</v>
      </c>
      <c r="F61" s="10">
        <f>'Balances Originales'!F58*F$3*F$5</f>
        <v>-65819.371561946158</v>
      </c>
      <c r="G61" s="10">
        <f>'Balances Originales'!G58*G$3*G$5</f>
        <v>284599.14126246102</v>
      </c>
      <c r="H61" s="10">
        <f>'Balances Originales'!H58*H$3*H$5</f>
        <v>-438760.15768580936</v>
      </c>
      <c r="I61" s="10">
        <f>'Balances Originales'!I58*I$3*I$5</f>
        <v>3241.0011359800374</v>
      </c>
      <c r="J61" s="10">
        <f>'Balances Originales'!J58*J$3*J$5</f>
        <v>40786.126943769981</v>
      </c>
      <c r="K61" s="10">
        <f>'Balances Originales'!K58*K$3*K$5</f>
        <v>81648</v>
      </c>
      <c r="L61" s="10">
        <f>'Balances Originales'!L58*L$3*L$5</f>
        <v>120137</v>
      </c>
    </row>
    <row r="62" spans="1:12" ht="15.75" customHeight="1">
      <c r="A62" s="8">
        <v>3099999</v>
      </c>
      <c r="B62" s="79" t="s">
        <v>136</v>
      </c>
      <c r="C62" s="10">
        <f>'Balances Originales'!C59*C$3*C$5</f>
        <v>-17892.845383316358</v>
      </c>
      <c r="D62" s="10">
        <f>'Balances Originales'!D59*D$3*D$5</f>
        <v>127434.78756972041</v>
      </c>
      <c r="E62" s="10">
        <f>'Balances Originales'!E59*E$3*E$5</f>
        <v>117529.19452370447</v>
      </c>
      <c r="F62" s="10">
        <f>'Balances Originales'!F59*F$3*F$5</f>
        <v>226809.1424575666</v>
      </c>
      <c r="G62" s="10">
        <f>'Balances Originales'!G59*G$3*G$5</f>
        <v>353792.36878194392</v>
      </c>
      <c r="H62" s="10">
        <f>'Balances Originales'!H59*H$3*H$5</f>
        <v>-61951.53555631444</v>
      </c>
      <c r="I62" s="10">
        <f>'Balances Originales'!I59*I$3*I$5</f>
        <v>56724.821961932757</v>
      </c>
      <c r="J62" s="10">
        <f>'Balances Originales'!J59*J$3*J$5</f>
        <v>102865.51780211591</v>
      </c>
      <c r="K62" s="10">
        <f>'Balances Originales'!K59*K$3*K$5</f>
        <v>179420</v>
      </c>
      <c r="L62" s="10">
        <f>'Balances Originales'!L59*L$3*L$5</f>
        <v>276492</v>
      </c>
    </row>
    <row r="63" spans="1:12" ht="15.75" customHeight="1">
      <c r="A63" s="8">
        <v>3241100</v>
      </c>
      <c r="B63" s="79" t="s">
        <v>138</v>
      </c>
      <c r="C63" s="10">
        <f>'Balances Originales'!C60*C$3*C$5</f>
        <v>433907.12052159681</v>
      </c>
      <c r="D63" s="10">
        <f>'Balances Originales'!D60*D$3*D$5</f>
        <v>527763.25617971679</v>
      </c>
      <c r="E63" s="10">
        <f>'Balances Originales'!E60*E$3*E$5</f>
        <v>279932.92839948187</v>
      </c>
      <c r="F63" s="10">
        <f>'Balances Originales'!F60*F$3*F$5</f>
        <v>425988.9170983822</v>
      </c>
      <c r="G63" s="10">
        <f>'Balances Originales'!G60*G$3*G$5</f>
        <v>555821.5923692697</v>
      </c>
      <c r="H63" s="10">
        <f>'Balances Originales'!H60*H$3*H$5</f>
        <v>261731.02865764036</v>
      </c>
      <c r="I63" s="10">
        <f>'Balances Originales'!I60*I$3*I$5</f>
        <v>29676.785791745111</v>
      </c>
      <c r="J63" s="10">
        <f>'Balances Originales'!J60*J$3*J$5</f>
        <v>103014.93306099693</v>
      </c>
      <c r="K63" s="10">
        <f>'Balances Originales'!K60*K$3*K$5</f>
        <v>236557</v>
      </c>
      <c r="L63" s="10">
        <f>'Balances Originales'!L60*L$3*L$5</f>
        <v>333770</v>
      </c>
    </row>
    <row r="64" spans="1:12" ht="15.75" customHeight="1">
      <c r="A64" s="8">
        <v>3241200</v>
      </c>
      <c r="B64" s="79" t="s">
        <v>269</v>
      </c>
      <c r="C64" s="10">
        <f>'Balances Originales'!C61*C$3*C$5</f>
        <v>-118425.76022136348</v>
      </c>
      <c r="D64" s="10">
        <f>'Balances Originales'!D61*D$3*D$5</f>
        <v>-72068.360035823323</v>
      </c>
      <c r="E64" s="10">
        <f>'Balances Originales'!E61*E$3*E$5</f>
        <v>-97302.398288103068</v>
      </c>
      <c r="F64" s="10">
        <f>'Balances Originales'!F61*F$3*F$5</f>
        <v>-95049.602421509291</v>
      </c>
      <c r="G64" s="10">
        <f>'Balances Originales'!G61*G$3*G$5</f>
        <v>-303819.96489090822</v>
      </c>
      <c r="H64" s="10">
        <f>'Balances Originales'!H61*H$3*H$5</f>
        <v>-218185.41945247646</v>
      </c>
      <c r="I64" s="10">
        <f>'Balances Originales'!I61*I$3*I$5</f>
        <v>-47087.196746829555</v>
      </c>
      <c r="J64" s="10">
        <f>'Balances Originales'!J61*J$3*J$5</f>
        <v>-68326.220298797081</v>
      </c>
      <c r="K64" s="10">
        <f>'Balances Originales'!K61*K$3*K$5</f>
        <v>-127468</v>
      </c>
      <c r="L64" s="10">
        <f>'Balances Originales'!L61*L$3*L$5</f>
        <v>-191946</v>
      </c>
    </row>
    <row r="65" spans="1:12" ht="15.75" customHeight="1">
      <c r="A65" s="8">
        <v>3241300</v>
      </c>
      <c r="B65" s="79" t="s">
        <v>270</v>
      </c>
      <c r="C65" s="10">
        <f>'Balances Originales'!C62*C$3*C$5</f>
        <v>-219282.53135952327</v>
      </c>
      <c r="D65" s="10">
        <f>'Balances Originales'!D62*D$3*D$5</f>
        <v>-434361.06452770403</v>
      </c>
      <c r="E65" s="10">
        <f>'Balances Originales'!E62*E$3*E$5</f>
        <v>-155068.96278796444</v>
      </c>
      <c r="F65" s="10">
        <f>'Balances Originales'!F62*F$3*F$5</f>
        <v>-391855.71284999605</v>
      </c>
      <c r="G65" s="10">
        <f>'Balances Originales'!G62*G$3*G$5</f>
        <v>-219502.2495450931</v>
      </c>
      <c r="H65" s="10">
        <f>'Balances Originales'!H62*H$3*H$5</f>
        <v>45014.08282035077</v>
      </c>
      <c r="I65" s="10">
        <f>'Balances Originales'!I62*I$3*I$5</f>
        <v>34915.187281199156</v>
      </c>
      <c r="J65" s="10">
        <f>'Balances Originales'!J62*J$3*J$5</f>
        <v>-22818.147301312038</v>
      </c>
      <c r="K65" s="10">
        <f>'Balances Originales'!K62*K$3*K$5</f>
        <v>-76896</v>
      </c>
      <c r="L65" s="10">
        <f>'Balances Originales'!L62*L$3*L$5</f>
        <v>-98429</v>
      </c>
    </row>
    <row r="66" spans="1:12" ht="15.75" customHeight="1">
      <c r="A66" s="8">
        <v>3240000</v>
      </c>
      <c r="B66" s="79" t="s">
        <v>271</v>
      </c>
      <c r="C66" s="10">
        <f>'Balances Originales'!C63*C$3*C$5</f>
        <v>96198.828940710009</v>
      </c>
      <c r="D66" s="10">
        <f>'Balances Originales'!D63*D$3*D$5</f>
        <v>21333.831616189484</v>
      </c>
      <c r="E66" s="10">
        <f>'Balances Originales'!E63*E$3*E$5</f>
        <v>27561.567323414325</v>
      </c>
      <c r="F66" s="10">
        <f>'Balances Originales'!F63*F$3*F$5</f>
        <v>-60916.398173123176</v>
      </c>
      <c r="G66" s="10">
        <f>'Balances Originales'!G63*G$3*G$5</f>
        <v>32499.377933268275</v>
      </c>
      <c r="H66" s="10">
        <f>'Balances Originales'!H63*H$3*H$5</f>
        <v>88559.692025514654</v>
      </c>
      <c r="I66" s="10">
        <f>'Balances Originales'!I63*I$3*I$5</f>
        <v>17504.776326114712</v>
      </c>
      <c r="J66" s="10">
        <f>'Balances Originales'!J63*J$3*J$5</f>
        <v>11870.565460887819</v>
      </c>
      <c r="K66" s="10">
        <f>'Balances Originales'!K63*K$3*K$5</f>
        <v>32193</v>
      </c>
      <c r="L66" s="10">
        <f>'Balances Originales'!L63*L$3*L$5</f>
        <v>43395</v>
      </c>
    </row>
    <row r="67" spans="1:12" ht="15.75" customHeight="1">
      <c r="A67" s="8">
        <v>8000000</v>
      </c>
      <c r="B67" s="79" t="s">
        <v>272</v>
      </c>
      <c r="C67" s="10">
        <f>'Balances Originales'!C64*C$3*C$5</f>
        <v>-6.6214741384724041E-4</v>
      </c>
      <c r="D67" s="10">
        <f>'Balances Originales'!D64*D$3*D$5</f>
        <v>1.4591109627643225E-3</v>
      </c>
      <c r="E67" s="10">
        <f>'Balances Originales'!E64*E$3*E$5</f>
        <v>4.1889133061210476E-3</v>
      </c>
      <c r="F67" s="10">
        <f>'Balances Originales'!F64*F$3*F$5</f>
        <v>3.8046271548029561E-3</v>
      </c>
      <c r="G67" s="10">
        <f>'Balances Originales'!G64*G$3*G$5</f>
        <v>1.8591868678981009E-4</v>
      </c>
      <c r="H67" s="10">
        <f>'Balances Originales'!H64*H$3*H$5</f>
        <v>0</v>
      </c>
      <c r="I67" s="10">
        <f>'Balances Originales'!I64*I$3*I$5</f>
        <v>0</v>
      </c>
      <c r="J67" s="10">
        <f>'Balances Originales'!J64*J$3*J$5</f>
        <v>0</v>
      </c>
      <c r="K67" s="10">
        <f>'Balances Originales'!K64*K$3*K$5</f>
        <v>0</v>
      </c>
      <c r="L67" s="10">
        <f>'Balances Originales'!L64*L$3*L$5</f>
        <v>0</v>
      </c>
    </row>
    <row r="68" spans="1:12" ht="15.75" customHeight="1">
      <c r="A68" s="8">
        <v>8000001</v>
      </c>
      <c r="B68" s="79" t="s">
        <v>273</v>
      </c>
      <c r="C68" s="10">
        <f>'Balances Originales'!C65*C$3*C$5</f>
        <v>-6.6214741384724041E-4</v>
      </c>
      <c r="D68" s="10">
        <f>'Balances Originales'!D65*D$3*D$5</f>
        <v>1.4591109627643225E-3</v>
      </c>
      <c r="E68" s="10">
        <f>'Balances Originales'!E65*E$3*E$5</f>
        <v>4.1889133061210476E-3</v>
      </c>
      <c r="F68" s="10">
        <f>'Balances Originales'!F65*F$3*F$5</f>
        <v>3.8046271548029561E-3</v>
      </c>
      <c r="G68" s="10">
        <f>'Balances Originales'!G65*G$3*G$5</f>
        <v>1.8591868678981009E-4</v>
      </c>
      <c r="H68" s="10">
        <f>'Balances Originales'!H65*H$3*H$5</f>
        <v>0</v>
      </c>
      <c r="I68" s="10">
        <f>'Balances Originales'!I65*I$3*I$5</f>
        <v>0</v>
      </c>
      <c r="J68" s="10">
        <f>'Balances Originales'!J65*J$3*J$5</f>
        <v>0</v>
      </c>
      <c r="K68" s="10">
        <f>'Balances Originales'!K65*K$3*K$5</f>
        <v>0</v>
      </c>
      <c r="L68" s="10">
        <f>'Balances Originales'!L65*L$3*L$5</f>
        <v>0</v>
      </c>
    </row>
    <row r="69" spans="1:12" ht="15.75" customHeight="1">
      <c r="A69" s="8">
        <v>8000002</v>
      </c>
      <c r="B69" s="79" t="s">
        <v>150</v>
      </c>
      <c r="C69" s="10">
        <f>'Balances Originales'!C66*C$3*C$5</f>
        <v>1041052.5641828316</v>
      </c>
      <c r="D69" s="10">
        <f>'Balances Originales'!D66*D$3*D$5</f>
        <v>990256.56371390203</v>
      </c>
      <c r="E69" s="10">
        <f>'Balances Originales'!E66*E$3*E$5</f>
        <v>1062880.9744364242</v>
      </c>
      <c r="F69" s="10">
        <f>'Balances Originales'!F66*F$3*F$5</f>
        <v>1173785.6632393948</v>
      </c>
      <c r="G69" s="10">
        <f>'Balances Originales'!G66*G$3*G$5</f>
        <v>1299686.0243966978</v>
      </c>
      <c r="H69" s="10">
        <f>'Balances Originales'!H66*H$3*H$5</f>
        <v>1495379.369299029</v>
      </c>
      <c r="I69" s="10">
        <f>'Balances Originales'!I66*I$3*I$5</f>
        <v>1378215.2310752573</v>
      </c>
      <c r="J69" s="10">
        <f>'Balances Originales'!J66*J$3*J$5</f>
        <v>1399969.0512634867</v>
      </c>
      <c r="K69" s="10">
        <f>'Balances Originales'!K66*K$3*K$5</f>
        <v>1410449</v>
      </c>
      <c r="L69" s="10">
        <f>'Balances Originales'!L66*L$3*L$5</f>
        <v>1410449</v>
      </c>
    </row>
    <row r="70" spans="1:12" ht="15.75" customHeight="1">
      <c r="A70" s="8">
        <v>8000003</v>
      </c>
      <c r="B70" s="79" t="s">
        <v>152</v>
      </c>
      <c r="C70" s="10">
        <f>'Balances Originales'!C67*C$3*C$5</f>
        <v>216843.37893113421</v>
      </c>
      <c r="D70" s="10">
        <f>'Balances Originales'!D67*D$3*D$5</f>
        <v>441663.57443711482</v>
      </c>
      <c r="E70" s="10">
        <f>'Balances Originales'!E67*E$3*E$5</f>
        <v>355209.66607748996</v>
      </c>
      <c r="F70" s="10">
        <f>'Balances Originales'!F67*F$3*F$5</f>
        <v>350923.49927019089</v>
      </c>
      <c r="G70" s="10">
        <f>'Balances Originales'!G67*G$3*G$5</f>
        <v>287303.83054227318</v>
      </c>
      <c r="H70" s="10">
        <f>'Balances Originales'!H67*H$3*H$5</f>
        <v>255215.59173710187</v>
      </c>
      <c r="I70" s="10">
        <f>'Balances Originales'!I67*I$3*I$5</f>
        <v>89832.463028992614</v>
      </c>
      <c r="J70" s="10">
        <f>'Balances Originales'!J67*J$3*J$5</f>
        <v>134895.48670238329</v>
      </c>
      <c r="K70" s="10">
        <f>'Balances Originales'!K67*K$3*K$5</f>
        <v>237574</v>
      </c>
      <c r="L70" s="10">
        <f>'Balances Originales'!L67*L$3*L$5</f>
        <v>364872</v>
      </c>
    </row>
    <row r="71" spans="1:12" ht="15.75" customHeight="1">
      <c r="A71" s="8">
        <v>8000004</v>
      </c>
      <c r="B71" s="79" t="s">
        <v>154</v>
      </c>
      <c r="C71" s="10">
        <f>'Balances Originales'!C68*C$3*C$5</f>
        <v>365787.083060898</v>
      </c>
      <c r="D71" s="10">
        <f>'Balances Originales'!D68*D$3*D$5</f>
        <v>564707.60529768479</v>
      </c>
      <c r="E71" s="10">
        <f>'Balances Originales'!E68*E$3*E$5</f>
        <v>485928.02470323205</v>
      </c>
      <c r="F71" s="10">
        <f>'Balances Originales'!F68*F$3*F$5</f>
        <v>488054.19687925547</v>
      </c>
      <c r="G71" s="10">
        <f>'Balances Originales'!G68*G$3*G$5</f>
        <v>446627.48338200134</v>
      </c>
      <c r="H71" s="10">
        <f>'Balances Originales'!H68*H$3*H$5</f>
        <v>388289.59768881532</v>
      </c>
      <c r="I71" s="10">
        <f>'Balances Originales'!I68*I$3*I$5</f>
        <v>112643.0559149843</v>
      </c>
      <c r="J71" s="10">
        <f>'Balances Originales'!J68*J$3*J$5</f>
        <v>186167.66128903819</v>
      </c>
      <c r="K71" s="10">
        <f>'Balances Originales'!K68*K$3*K$5</f>
        <v>317882.77</v>
      </c>
      <c r="L71" s="10">
        <f>'Balances Originales'!L68*L$3*L$5</f>
        <v>493565.23</v>
      </c>
    </row>
    <row r="72" spans="1:12" ht="15.75" customHeight="1">
      <c r="A72" s="8">
        <v>8000005</v>
      </c>
      <c r="B72" s="79" t="s">
        <v>156</v>
      </c>
      <c r="C72" s="10">
        <f>'Balances Originales'!C69*C$3*C$5</f>
        <v>548400.8176479406</v>
      </c>
      <c r="D72" s="10">
        <f>'Balances Originales'!D69*D$3*D$5</f>
        <v>685197.41378090379</v>
      </c>
      <c r="E72" s="10">
        <f>'Balances Originales'!E69*E$3*E$5</f>
        <v>754066.84213245974</v>
      </c>
      <c r="F72" s="10">
        <f>'Balances Originales'!F69*F$3*F$5</f>
        <v>460777.17889168224</v>
      </c>
      <c r="G72" s="10">
        <f>'Balances Originales'!G69*G$3*G$5</f>
        <v>758011.78701159928</v>
      </c>
      <c r="H72" s="10">
        <f>'Balances Originales'!H69*H$3*H$5</f>
        <v>433365.59057619836</v>
      </c>
      <c r="I72" s="10">
        <f>'Balances Originales'!I69*I$3*I$5</f>
        <v>434452.55123698298</v>
      </c>
      <c r="J72" s="10">
        <f>'Balances Originales'!J69*J$3*J$5</f>
        <v>497873.89592798671</v>
      </c>
      <c r="K72" s="10">
        <f>'Balances Originales'!K69*K$3*K$5</f>
        <v>857035</v>
      </c>
      <c r="L72" s="10">
        <f>'Balances Originales'!L69*L$3*L$5</f>
        <v>857035</v>
      </c>
    </row>
    <row r="73" spans="1:12" ht="15.75" customHeight="1">
      <c r="B73" s="100" t="s">
        <v>274</v>
      </c>
      <c r="C73" s="97"/>
      <c r="D73" s="97"/>
      <c r="E73" s="97"/>
      <c r="F73" s="97"/>
      <c r="G73" s="97"/>
      <c r="H73" s="97"/>
      <c r="I73" s="97"/>
      <c r="J73" s="97"/>
      <c r="K73" s="97"/>
      <c r="L73" s="98"/>
    </row>
    <row r="74" spans="1:12" ht="18.75" customHeight="1">
      <c r="A74" s="80"/>
      <c r="B74" s="81" t="s">
        <v>275</v>
      </c>
      <c r="C74" s="82" t="s">
        <v>183</v>
      </c>
      <c r="D74" s="83">
        <f t="shared" ref="D74:L74" si="1">(D42-C42)/C42</f>
        <v>-3.4808761416332192E-2</v>
      </c>
      <c r="E74" s="83">
        <f t="shared" si="1"/>
        <v>0.12726081000215023</v>
      </c>
      <c r="F74" s="83">
        <f t="shared" si="1"/>
        <v>6.543865669584184E-2</v>
      </c>
      <c r="G74" s="83">
        <f t="shared" si="1"/>
        <v>-1.6092295069608433E-2</v>
      </c>
      <c r="H74" s="83">
        <f t="shared" si="1"/>
        <v>-5.539061949199723E-2</v>
      </c>
      <c r="I74" s="83">
        <f t="shared" si="1"/>
        <v>-0.76585771528934876</v>
      </c>
      <c r="J74" s="83">
        <f t="shared" si="1"/>
        <v>1.0174241490127351</v>
      </c>
      <c r="K74" s="83">
        <f t="shared" si="1"/>
        <v>0.54621398925746956</v>
      </c>
      <c r="L74" s="83">
        <f t="shared" si="1"/>
        <v>0.61031572918610799</v>
      </c>
    </row>
    <row r="75" spans="1:12" ht="18.75" customHeight="1">
      <c r="A75" s="80"/>
      <c r="B75" s="81" t="s">
        <v>276</v>
      </c>
      <c r="C75" s="82" t="s">
        <v>183</v>
      </c>
      <c r="D75" s="83">
        <f t="shared" ref="D75:L75" si="2">(D44-C44)/C44</f>
        <v>9.6148016793202756E-2</v>
      </c>
      <c r="E75" s="83">
        <f t="shared" si="2"/>
        <v>2.3957519814707937E-3</v>
      </c>
      <c r="F75" s="83">
        <f t="shared" si="2"/>
        <v>6.9867238671659365E-2</v>
      </c>
      <c r="G75" s="83">
        <f t="shared" si="2"/>
        <v>-5.7027776024874736E-2</v>
      </c>
      <c r="H75" s="83">
        <f t="shared" si="2"/>
        <v>-2.7801134652916861E-2</v>
      </c>
      <c r="I75" s="83">
        <f t="shared" si="2"/>
        <v>-0.75783273863398892</v>
      </c>
      <c r="J75" s="83">
        <f t="shared" si="2"/>
        <v>0.94803397695412006</v>
      </c>
      <c r="K75" s="83">
        <f t="shared" si="2"/>
        <v>0.58032950974747799</v>
      </c>
      <c r="L75" s="83">
        <f t="shared" si="2"/>
        <v>0.59714047767305478</v>
      </c>
    </row>
    <row r="76" spans="1:12" ht="18.75" customHeight="1">
      <c r="A76" s="80"/>
      <c r="B76" s="81" t="s">
        <v>277</v>
      </c>
      <c r="C76" s="45">
        <f t="shared" ref="C76:L76" si="3">C42/C40</f>
        <v>1.6597344785744412</v>
      </c>
      <c r="D76" s="45">
        <f t="shared" si="3"/>
        <v>1.6542779930598475</v>
      </c>
      <c r="E76" s="45">
        <f t="shared" si="3"/>
        <v>1.8208047535020784</v>
      </c>
      <c r="F76" s="45">
        <f t="shared" si="3"/>
        <v>2.1147820238480621</v>
      </c>
      <c r="G76" s="45">
        <f t="shared" si="3"/>
        <v>1.693996495104243</v>
      </c>
      <c r="H76" s="45">
        <f t="shared" si="3"/>
        <v>2.0274866799476925</v>
      </c>
      <c r="I76" s="45">
        <f t="shared" si="3"/>
        <v>0.45949648708183011</v>
      </c>
      <c r="J76" s="45">
        <f t="shared" si="3"/>
        <v>0.89819442749592926</v>
      </c>
      <c r="K76" s="45">
        <f t="shared" si="3"/>
        <v>1.3080493134734676</v>
      </c>
      <c r="L76" s="45">
        <f t="shared" si="3"/>
        <v>2.1063723840374147</v>
      </c>
    </row>
    <row r="77" spans="1:12" ht="18.75" customHeight="1">
      <c r="B77" s="81" t="s">
        <v>278</v>
      </c>
      <c r="C77" s="83">
        <f t="shared" ref="C77:L77" si="4">C44/C42</f>
        <v>0.28952659057704649</v>
      </c>
      <c r="D77" s="83">
        <f t="shared" si="4"/>
        <v>0.32880944768586012</v>
      </c>
      <c r="E77" s="83">
        <f t="shared" si="4"/>
        <v>0.29238769825684896</v>
      </c>
      <c r="F77" s="83">
        <f t="shared" si="4"/>
        <v>0.29360303138026567</v>
      </c>
      <c r="G77" s="83">
        <f t="shared" si="4"/>
        <v>0.28138767699362061</v>
      </c>
      <c r="H77" s="83">
        <f t="shared" si="4"/>
        <v>0.28960624988577682</v>
      </c>
      <c r="I77" s="83">
        <f t="shared" si="4"/>
        <v>0.29953219469088405</v>
      </c>
      <c r="J77" s="83">
        <f t="shared" si="4"/>
        <v>0.28922965591297445</v>
      </c>
      <c r="K77" s="83">
        <f t="shared" si="4"/>
        <v>0.29561119192362434</v>
      </c>
      <c r="L77" s="83">
        <f t="shared" si="4"/>
        <v>0.29319256572934649</v>
      </c>
    </row>
    <row r="78" spans="1:12" ht="18.75" customHeight="1">
      <c r="A78" s="80"/>
      <c r="B78" s="81" t="s">
        <v>279</v>
      </c>
      <c r="C78" s="45">
        <f t="shared" ref="C78:L78" si="5">C12/C34</f>
        <v>1.4248551373608709</v>
      </c>
      <c r="D78" s="45">
        <f t="shared" si="5"/>
        <v>1.5599926582333075</v>
      </c>
      <c r="E78" s="45">
        <f t="shared" si="5"/>
        <v>1.5513625354808633</v>
      </c>
      <c r="F78" s="45">
        <f t="shared" si="5"/>
        <v>1.2754061341093577</v>
      </c>
      <c r="G78" s="45">
        <f t="shared" si="5"/>
        <v>1.401032046128257</v>
      </c>
      <c r="H78" s="45">
        <f t="shared" si="5"/>
        <v>1.2413997156054866</v>
      </c>
      <c r="I78" s="45">
        <f t="shared" si="5"/>
        <v>1.2280693270459577</v>
      </c>
      <c r="J78" s="45">
        <f t="shared" si="5"/>
        <v>1.2647428236236791</v>
      </c>
      <c r="K78" s="45">
        <f t="shared" si="5"/>
        <v>1.5100909972318128</v>
      </c>
      <c r="L78" s="45">
        <f t="shared" si="5"/>
        <v>1.5100909972318128</v>
      </c>
    </row>
    <row r="79" spans="1:12" ht="18.75" customHeight="1">
      <c r="B79" s="81" t="s">
        <v>280</v>
      </c>
      <c r="C79" s="84">
        <f t="shared" ref="C79:L79" si="6">C29/C40</f>
        <v>0.36852013698982039</v>
      </c>
      <c r="D79" s="84">
        <f t="shared" si="6"/>
        <v>0.4084648160776127</v>
      </c>
      <c r="E79" s="84">
        <f t="shared" si="6"/>
        <v>0.44044256259851555</v>
      </c>
      <c r="F79" s="84">
        <f t="shared" si="6"/>
        <v>0.53163397746927776</v>
      </c>
      <c r="G79" s="84">
        <f t="shared" si="6"/>
        <v>0.49798844586985025</v>
      </c>
      <c r="H79" s="84">
        <f t="shared" si="6"/>
        <v>0.58908417017347858</v>
      </c>
      <c r="I79" s="84">
        <f t="shared" si="6"/>
        <v>0.57887422362742014</v>
      </c>
      <c r="J79" s="84">
        <f t="shared" si="6"/>
        <v>0.57147835363590738</v>
      </c>
      <c r="K79" s="84">
        <f t="shared" si="6"/>
        <v>0.57052462561484374</v>
      </c>
      <c r="L79" s="84">
        <f t="shared" si="6"/>
        <v>0.57052462561484374</v>
      </c>
    </row>
    <row r="80" spans="1:12" ht="18.75" customHeight="1">
      <c r="B80" s="81" t="s">
        <v>281</v>
      </c>
      <c r="C80" s="84">
        <f t="shared" ref="C80:L80" si="7">C18/C19</f>
        <v>0.49986155644799851</v>
      </c>
      <c r="D80" s="84">
        <f t="shared" si="7"/>
        <v>0.47918925297780995</v>
      </c>
      <c r="E80" s="84">
        <f t="shared" si="7"/>
        <v>0.44729877595797796</v>
      </c>
      <c r="F80" s="84">
        <f t="shared" si="7"/>
        <v>0.43011775754476356</v>
      </c>
      <c r="G80" s="84">
        <f t="shared" si="7"/>
        <v>0.41128746242040765</v>
      </c>
      <c r="H80" s="84">
        <f t="shared" si="7"/>
        <v>0.40824428895007625</v>
      </c>
      <c r="I80" s="84">
        <f t="shared" si="7"/>
        <v>0.39486091911569193</v>
      </c>
      <c r="J80" s="84">
        <f t="shared" si="7"/>
        <v>0.40105863648517315</v>
      </c>
      <c r="K80" s="84">
        <f t="shared" si="7"/>
        <v>0.39787209199670792</v>
      </c>
      <c r="L80" s="84">
        <f t="shared" si="7"/>
        <v>0.39787209199670792</v>
      </c>
    </row>
    <row r="81" spans="1:13" ht="18.75" customHeight="1">
      <c r="B81" s="81" t="s">
        <v>282</v>
      </c>
      <c r="C81" s="83">
        <f t="shared" ref="C81:L81" si="8">C60/C29</f>
        <v>-4.8173789125782636E-3</v>
      </c>
      <c r="D81" s="83">
        <f t="shared" si="8"/>
        <v>0.12450808407762883</v>
      </c>
      <c r="E81" s="83">
        <f t="shared" si="8"/>
        <v>0.27339694193843606</v>
      </c>
      <c r="F81" s="83">
        <f t="shared" si="8"/>
        <v>0.22515322668691271</v>
      </c>
      <c r="G81" s="83">
        <f t="shared" si="8"/>
        <v>4.6271238157105286E-2</v>
      </c>
      <c r="H81" s="83">
        <f t="shared" si="8"/>
        <v>0.26990039863261062</v>
      </c>
      <c r="I81" s="83">
        <f t="shared" si="8"/>
        <v>3.7734847091795649E-2</v>
      </c>
      <c r="J81" s="83">
        <f t="shared" si="8"/>
        <v>4.2987579148349449E-2</v>
      </c>
      <c r="K81" s="83">
        <f t="shared" si="8"/>
        <v>6.3873335175607254E-2</v>
      </c>
      <c r="L81" s="83">
        <f t="shared" si="8"/>
        <v>0.10214494253346634</v>
      </c>
    </row>
    <row r="82" spans="1:13" ht="18.75" customHeight="1">
      <c r="A82" s="80"/>
      <c r="B82" s="81" t="s">
        <v>283</v>
      </c>
      <c r="C82" s="83">
        <f t="shared" ref="C82:L82" si="9">C60/C19</f>
        <v>-1.297241515715029E-3</v>
      </c>
      <c r="D82" s="83">
        <f t="shared" si="9"/>
        <v>3.610823009734461E-2</v>
      </c>
      <c r="E82" s="83">
        <f t="shared" si="9"/>
        <v>8.359628689167313E-2</v>
      </c>
      <c r="F82" s="83">
        <f t="shared" si="9"/>
        <v>7.8151247102381763E-2</v>
      </c>
      <c r="G82" s="83">
        <f t="shared" si="9"/>
        <v>1.5382322902330704E-2</v>
      </c>
      <c r="H82" s="83">
        <f t="shared" si="9"/>
        <v>0.10005388974494994</v>
      </c>
      <c r="I82" s="83">
        <f t="shared" si="9"/>
        <v>1.3835003439208252E-2</v>
      </c>
      <c r="J82" s="83">
        <f t="shared" si="9"/>
        <v>1.5632713553866591E-2</v>
      </c>
      <c r="K82" s="83">
        <f t="shared" si="9"/>
        <v>2.3203272361022906E-2</v>
      </c>
      <c r="L82" s="83">
        <f t="shared" si="9"/>
        <v>3.7106202696147533E-2</v>
      </c>
    </row>
    <row r="83" spans="1:13" ht="18.75" customHeight="1">
      <c r="A83" s="80"/>
      <c r="B83" s="81" t="s">
        <v>284</v>
      </c>
      <c r="C83" s="45">
        <f t="shared" ref="C83:L83" si="10">C40/C29</f>
        <v>2.7135559217151353</v>
      </c>
      <c r="D83" s="45">
        <f t="shared" si="10"/>
        <v>2.448191277777005</v>
      </c>
      <c r="E83" s="45">
        <f t="shared" si="10"/>
        <v>2.2704436058591089</v>
      </c>
      <c r="F83" s="45">
        <f t="shared" si="10"/>
        <v>1.880993394666518</v>
      </c>
      <c r="G83" s="45">
        <f t="shared" si="10"/>
        <v>2.0080787180780315</v>
      </c>
      <c r="H83" s="45">
        <f t="shared" si="10"/>
        <v>1.6975502833585079</v>
      </c>
      <c r="I83" s="45">
        <f t="shared" si="10"/>
        <v>1.7274909802230689</v>
      </c>
      <c r="J83" s="45">
        <f t="shared" si="10"/>
        <v>1.7498475552708452</v>
      </c>
      <c r="K83" s="45">
        <f t="shared" si="10"/>
        <v>1.7527727202350272</v>
      </c>
      <c r="L83" s="45">
        <f t="shared" si="10"/>
        <v>1.7527727202350272</v>
      </c>
    </row>
    <row r="84" spans="1:13" ht="18.75" customHeight="1">
      <c r="B84" s="81" t="s">
        <v>285</v>
      </c>
      <c r="C84" s="45">
        <f t="shared" ref="C84:L84" si="11">C34/C29</f>
        <v>1.3034953729892984</v>
      </c>
      <c r="D84" s="45">
        <f t="shared" si="11"/>
        <v>1.1511945686258862</v>
      </c>
      <c r="E84" s="45">
        <f t="shared" si="11"/>
        <v>1.1651552379137822</v>
      </c>
      <c r="F84" s="45">
        <f t="shared" si="11"/>
        <v>1.2872973810791659</v>
      </c>
      <c r="G84" s="45">
        <f t="shared" si="11"/>
        <v>1.2639922550328082</v>
      </c>
      <c r="H84" s="45">
        <f t="shared" si="11"/>
        <v>1.2858797742217578</v>
      </c>
      <c r="I84" s="45">
        <f t="shared" si="11"/>
        <v>1.3439887704569808</v>
      </c>
      <c r="J84" s="45">
        <f t="shared" si="11"/>
        <v>1.3022390113216353</v>
      </c>
      <c r="K84" s="45">
        <f t="shared" si="11"/>
        <v>1.0976300648650272</v>
      </c>
      <c r="L84" s="45">
        <f t="shared" si="11"/>
        <v>1.0976300648650272</v>
      </c>
    </row>
    <row r="85" spans="1:13" ht="18.75" customHeight="1">
      <c r="A85" s="80"/>
      <c r="B85" s="81" t="s">
        <v>172</v>
      </c>
      <c r="C85" s="45">
        <f t="shared" ref="C85:L85" si="12">C82/(C53/-C40)</f>
        <v>-2.2573285621325389E-2</v>
      </c>
      <c r="D85" s="45">
        <f t="shared" si="12"/>
        <v>0.70095947837929806</v>
      </c>
      <c r="E85" s="45">
        <f t="shared" si="12"/>
        <v>5.403400423811882</v>
      </c>
      <c r="F85" s="45">
        <f t="shared" si="12"/>
        <v>97.30760583718731</v>
      </c>
      <c r="G85" s="45">
        <f t="shared" si="12"/>
        <v>-0.2379153086285489</v>
      </c>
      <c r="H85" s="45">
        <f t="shared" si="12"/>
        <v>2.5774836522143518</v>
      </c>
      <c r="I85" s="45">
        <f t="shared" si="12"/>
        <v>1.0927256220636798</v>
      </c>
      <c r="J85" s="45">
        <f t="shared" si="12"/>
        <v>0.58021649694380861</v>
      </c>
      <c r="K85" s="45">
        <f t="shared" si="12"/>
        <v>0.63487279509425132</v>
      </c>
      <c r="L85" s="45">
        <f t="shared" si="12"/>
        <v>0.61337644926658652</v>
      </c>
      <c r="M85" s="43"/>
    </row>
    <row r="86" spans="1:13" ht="18.75" customHeight="1">
      <c r="B86" s="81" t="s">
        <v>174</v>
      </c>
      <c r="C86" s="83">
        <f t="shared" ref="C86:L86" si="13">C60/C42</f>
        <v>-1.0696296062488462E-3</v>
      </c>
      <c r="D86" s="83">
        <f t="shared" si="13"/>
        <v>3.0742820660314932E-2</v>
      </c>
      <c r="E86" s="83">
        <f t="shared" si="13"/>
        <v>6.613320263051746E-2</v>
      </c>
      <c r="F86" s="83">
        <f t="shared" si="13"/>
        <v>5.6601155151584169E-2</v>
      </c>
      <c r="G86" s="83">
        <f t="shared" si="13"/>
        <v>1.3602473231157786E-2</v>
      </c>
      <c r="H86" s="83">
        <f t="shared" si="13"/>
        <v>7.8419283307984256E-2</v>
      </c>
      <c r="I86" s="83">
        <f t="shared" si="13"/>
        <v>4.7538405467880206E-2</v>
      </c>
      <c r="J86" s="83">
        <f t="shared" si="13"/>
        <v>2.7350950091040663E-2</v>
      </c>
      <c r="K86" s="83">
        <f t="shared" si="13"/>
        <v>2.7859278899100868E-2</v>
      </c>
      <c r="L86" s="83">
        <f t="shared" si="13"/>
        <v>2.7666620365414202E-2</v>
      </c>
    </row>
    <row r="87" spans="1:13" ht="18.75" customHeight="1">
      <c r="B87" s="81" t="s">
        <v>176</v>
      </c>
      <c r="C87" s="45">
        <f t="shared" ref="C87:L87" si="14">(C30+C35)/C71</f>
        <v>4.9126673110371728</v>
      </c>
      <c r="D87" s="45">
        <f t="shared" si="14"/>
        <v>2.745466856251213</v>
      </c>
      <c r="E87" s="45">
        <f t="shared" si="14"/>
        <v>2.8298891139560478</v>
      </c>
      <c r="F87" s="45">
        <f t="shared" si="14"/>
        <v>2.1794210050665335</v>
      </c>
      <c r="G87" s="45">
        <f t="shared" si="14"/>
        <v>3.0932396358941157</v>
      </c>
      <c r="H87" s="45">
        <f t="shared" si="14"/>
        <v>2.8974120475097491</v>
      </c>
      <c r="I87" s="45">
        <f t="shared" si="14"/>
        <v>10.579544172779078</v>
      </c>
      <c r="J87" s="45">
        <f t="shared" si="14"/>
        <v>6.8165939843966212</v>
      </c>
      <c r="K87" s="45">
        <f t="shared" si="14"/>
        <v>4.3297722616422396</v>
      </c>
      <c r="L87" s="45">
        <f t="shared" si="14"/>
        <v>2.7886081035327388</v>
      </c>
    </row>
    <row r="88" spans="1:13" ht="18.75" customHeight="1">
      <c r="B88" s="81" t="s">
        <v>178</v>
      </c>
      <c r="C88" s="45">
        <f t="shared" ref="C88:L88" si="15">C71/C53</f>
        <v>-2.3687313142444282</v>
      </c>
      <c r="D88" s="45">
        <f t="shared" si="15"/>
        <v>-4.2128922514342442</v>
      </c>
      <c r="E88" s="45">
        <f t="shared" si="15"/>
        <v>-11.785624299565006</v>
      </c>
      <c r="F88" s="45">
        <f t="shared" si="15"/>
        <v>-248.57256233439628</v>
      </c>
      <c r="G88" s="45">
        <f t="shared" si="15"/>
        <v>2.3004495131266731</v>
      </c>
      <c r="H88" s="45">
        <f t="shared" si="15"/>
        <v>-4.2206345039706212</v>
      </c>
      <c r="I88" s="45">
        <f t="shared" si="15"/>
        <v>-3.6336296430512771</v>
      </c>
      <c r="J88" s="45">
        <f t="shared" si="15"/>
        <v>-2.7343573540856028</v>
      </c>
      <c r="K88" s="45">
        <f t="shared" si="15"/>
        <v>-3.241783128352608</v>
      </c>
      <c r="L88" s="45">
        <f t="shared" si="15"/>
        <v>-3.0409174532370553</v>
      </c>
    </row>
    <row r="89" spans="1:13" ht="18.75" customHeight="1">
      <c r="B89" s="81" t="s">
        <v>286</v>
      </c>
      <c r="C89" s="83">
        <f t="shared" ref="C89:L89" si="16">C60/C29</f>
        <v>-4.8173789125782636E-3</v>
      </c>
      <c r="D89" s="83">
        <f t="shared" si="16"/>
        <v>0.12450808407762883</v>
      </c>
      <c r="E89" s="83">
        <f t="shared" si="16"/>
        <v>0.27339694193843606</v>
      </c>
      <c r="F89" s="83">
        <f t="shared" si="16"/>
        <v>0.22515322668691271</v>
      </c>
      <c r="G89" s="83">
        <f t="shared" si="16"/>
        <v>4.6271238157105286E-2</v>
      </c>
      <c r="H89" s="83">
        <f t="shared" si="16"/>
        <v>0.26990039863261062</v>
      </c>
      <c r="I89" s="83">
        <f t="shared" si="16"/>
        <v>3.7734847091795649E-2</v>
      </c>
      <c r="J89" s="83">
        <f t="shared" si="16"/>
        <v>4.2987579148349449E-2</v>
      </c>
      <c r="K89" s="83">
        <f t="shared" si="16"/>
        <v>6.3873335175607254E-2</v>
      </c>
      <c r="L89" s="83">
        <f t="shared" si="16"/>
        <v>0.10214494253346634</v>
      </c>
    </row>
    <row r="90" spans="1:13" ht="18.75" customHeight="1">
      <c r="B90" s="81" t="s">
        <v>287</v>
      </c>
      <c r="C90" s="45">
        <f t="shared" ref="C90:L90" si="17">(C12-C11)/C34</f>
        <v>0.86724147735076673</v>
      </c>
      <c r="D90" s="45">
        <f t="shared" si="17"/>
        <v>0.93671238112235844</v>
      </c>
      <c r="E90" s="45">
        <f t="shared" si="17"/>
        <v>0.89863637543270247</v>
      </c>
      <c r="F90" s="45">
        <f t="shared" si="17"/>
        <v>0.65363326180230885</v>
      </c>
      <c r="G90" s="45">
        <f t="shared" si="17"/>
        <v>0.7964615696614471</v>
      </c>
      <c r="H90" s="45">
        <f t="shared" si="17"/>
        <v>0.68901738502438026</v>
      </c>
      <c r="I90" s="45">
        <f t="shared" si="17"/>
        <v>0.71530595816528308</v>
      </c>
      <c r="J90" s="45">
        <f t="shared" si="17"/>
        <v>0.71864682981748218</v>
      </c>
      <c r="K90" s="45">
        <f t="shared" si="17"/>
        <v>0.88741733679093848</v>
      </c>
      <c r="L90" s="45">
        <f t="shared" si="17"/>
        <v>0.88741733679093848</v>
      </c>
    </row>
    <row r="91" spans="1:13" ht="18.75" customHeight="1">
      <c r="B91" s="81" t="s">
        <v>185</v>
      </c>
      <c r="C91" s="45">
        <f t="shared" ref="C91:L91" si="18">C70/C53</f>
        <v>-1.4042149811923079</v>
      </c>
      <c r="D91" s="45">
        <f t="shared" si="18"/>
        <v>-3.2949459738655675</v>
      </c>
      <c r="E91" s="45">
        <f t="shared" si="18"/>
        <v>-8.6152011391397991</v>
      </c>
      <c r="F91" s="45">
        <f t="shared" si="18"/>
        <v>-178.73005488881117</v>
      </c>
      <c r="G91" s="45">
        <f t="shared" si="18"/>
        <v>1.4798192715003782</v>
      </c>
      <c r="H91" s="45">
        <f t="shared" si="18"/>
        <v>-2.7741452226597199</v>
      </c>
      <c r="I91" s="45">
        <f t="shared" si="18"/>
        <v>-2.8978075738358395</v>
      </c>
      <c r="J91" s="45">
        <f t="shared" si="18"/>
        <v>-1.9812918287937742</v>
      </c>
      <c r="K91" s="45">
        <f t="shared" si="18"/>
        <v>-2.4227905933223193</v>
      </c>
      <c r="L91" s="45">
        <f t="shared" si="18"/>
        <v>-2.2480222786307515</v>
      </c>
    </row>
    <row r="92" spans="1:13" ht="18.75" customHeight="1">
      <c r="A92" s="80"/>
      <c r="B92" s="81" t="s">
        <v>288</v>
      </c>
      <c r="C92" s="45">
        <f t="shared" ref="C92:L92" si="19">C42/C19</f>
        <v>1.2127950723656666</v>
      </c>
      <c r="D92" s="45">
        <f t="shared" si="19"/>
        <v>1.1745256070128836</v>
      </c>
      <c r="E92" s="45">
        <f t="shared" si="19"/>
        <v>1.2640592556619548</v>
      </c>
      <c r="F92" s="45">
        <f t="shared" si="19"/>
        <v>1.3807359035886115</v>
      </c>
      <c r="G92" s="45">
        <f t="shared" si="19"/>
        <v>1.1308475040477197</v>
      </c>
      <c r="H92" s="45">
        <f t="shared" si="19"/>
        <v>1.2758837561929486</v>
      </c>
      <c r="I92" s="45">
        <f t="shared" si="19"/>
        <v>0.29102792369752517</v>
      </c>
      <c r="J92" s="45">
        <f t="shared" si="19"/>
        <v>0.57156016525317666</v>
      </c>
      <c r="K92" s="45">
        <f t="shared" si="19"/>
        <v>0.83287411871137018</v>
      </c>
      <c r="L92" s="45">
        <f t="shared" si="19"/>
        <v>1.3411902937929372</v>
      </c>
    </row>
    <row r="93" spans="1:13" ht="18.75" customHeight="1">
      <c r="B93" s="81" t="s">
        <v>289</v>
      </c>
      <c r="C93" s="85">
        <f t="shared" ref="C93:L93" si="20">C12-C34</f>
        <v>548400.81764794048</v>
      </c>
      <c r="D93" s="85">
        <f t="shared" si="20"/>
        <v>685197.41378090391</v>
      </c>
      <c r="E93" s="85">
        <f t="shared" si="20"/>
        <v>754066.84213245963</v>
      </c>
      <c r="F93" s="85">
        <f t="shared" si="20"/>
        <v>460777.17889168207</v>
      </c>
      <c r="G93" s="85">
        <f t="shared" si="20"/>
        <v>758011.7870115994</v>
      </c>
      <c r="H93" s="85">
        <f t="shared" si="20"/>
        <v>433365.59057619865</v>
      </c>
      <c r="I93" s="85">
        <f t="shared" si="20"/>
        <v>434452.55123698316</v>
      </c>
      <c r="J93" s="85">
        <f t="shared" si="20"/>
        <v>497873.8959279866</v>
      </c>
      <c r="K93" s="85">
        <f t="shared" si="20"/>
        <v>857035</v>
      </c>
      <c r="L93" s="85">
        <f t="shared" si="20"/>
        <v>857035</v>
      </c>
    </row>
    <row r="94" spans="1:13" ht="18.75" customHeight="1">
      <c r="A94" s="80"/>
      <c r="B94" s="81" t="s">
        <v>290</v>
      </c>
      <c r="C94" s="86">
        <v>-9.8000000000000004E-2</v>
      </c>
      <c r="D94" s="86">
        <v>8.0000000000000002E-3</v>
      </c>
      <c r="E94" s="86">
        <v>1.4999999999999999E-2</v>
      </c>
      <c r="F94" s="86">
        <v>1.6E-2</v>
      </c>
      <c r="G94" s="86">
        <v>8.9999999999999993E-3</v>
      </c>
      <c r="H94" s="86">
        <v>-0.11</v>
      </c>
      <c r="I94" s="86"/>
      <c r="J94" s="86"/>
      <c r="K94" s="86"/>
      <c r="L94" s="86"/>
    </row>
    <row r="95" spans="1:13" ht="18.75" customHeight="1">
      <c r="A95" s="87"/>
      <c r="B95" s="81" t="s">
        <v>291</v>
      </c>
      <c r="C95" s="86" t="str">
        <f>IFERROR(NA(),"")</f>
        <v/>
      </c>
      <c r="D95" s="86">
        <f t="shared" ref="D95:H95" si="21">D74-D94</f>
        <v>-4.2808761416332192E-2</v>
      </c>
      <c r="E95" s="86">
        <f t="shared" si="21"/>
        <v>0.11226081000215023</v>
      </c>
      <c r="F95" s="86">
        <f t="shared" si="21"/>
        <v>4.943865669584184E-2</v>
      </c>
      <c r="G95" s="86">
        <f t="shared" si="21"/>
        <v>-2.5092295069608431E-2</v>
      </c>
      <c r="H95" s="86">
        <f t="shared" si="21"/>
        <v>5.4609380508002771E-2</v>
      </c>
      <c r="I95" s="86"/>
      <c r="J95" s="86"/>
      <c r="K95" s="86"/>
      <c r="L95" s="86"/>
    </row>
    <row r="96" spans="1:13" ht="18.75" customHeight="1">
      <c r="A96" s="16"/>
      <c r="B96" s="88" t="s">
        <v>292</v>
      </c>
      <c r="C96" s="89">
        <f t="shared" ref="C96:L96" si="22">C71/C42</f>
        <v>8.2016880639231279E-2</v>
      </c>
      <c r="D96" s="89">
        <f t="shared" si="22"/>
        <v>0.13118529254210942</v>
      </c>
      <c r="E96" s="89">
        <f t="shared" si="22"/>
        <v>0.10014033717044757</v>
      </c>
      <c r="F96" s="89">
        <f t="shared" si="22"/>
        <v>9.4401023811720955E-2</v>
      </c>
      <c r="G96" s="89">
        <f t="shared" si="22"/>
        <v>8.7801055172522874E-2</v>
      </c>
      <c r="H96" s="89">
        <f t="shared" si="22"/>
        <v>8.0808639129913887E-2</v>
      </c>
      <c r="I96" s="89">
        <f t="shared" si="22"/>
        <v>0.10012132982520958</v>
      </c>
      <c r="J96" s="89">
        <f t="shared" si="22"/>
        <v>8.2021784397030659E-2</v>
      </c>
      <c r="K96" s="89">
        <f t="shared" si="22"/>
        <v>9.0577923604393235E-2</v>
      </c>
      <c r="L96" s="89">
        <f t="shared" si="22"/>
        <v>8.733511460444722E-2</v>
      </c>
    </row>
    <row r="97" spans="1:12" ht="18.75" customHeight="1">
      <c r="A97" s="16"/>
      <c r="B97" s="88" t="s">
        <v>293</v>
      </c>
      <c r="C97" s="45">
        <f t="shared" ref="C97:L97" si="23">(C30+C35-C7)/C71</f>
        <v>4.0105462194039037</v>
      </c>
      <c r="D97" s="45">
        <f t="shared" si="23"/>
        <v>2.1190679144519979</v>
      </c>
      <c r="E97" s="45">
        <f t="shared" si="23"/>
        <v>2.1863993397538812</v>
      </c>
      <c r="F97" s="45">
        <f t="shared" si="23"/>
        <v>1.7948822601368291</v>
      </c>
      <c r="G97" s="45">
        <f t="shared" si="23"/>
        <v>2.5349700292667636</v>
      </c>
      <c r="H97" s="45">
        <f t="shared" si="23"/>
        <v>2.3060656447905985</v>
      </c>
      <c r="I97" s="45">
        <f t="shared" si="23"/>
        <v>8.4642855824986949</v>
      </c>
      <c r="J97" s="45">
        <f t="shared" si="23"/>
        <v>5.5027804141631442</v>
      </c>
      <c r="K97" s="45">
        <f t="shared" si="23"/>
        <v>3.388629714029483</v>
      </c>
      <c r="L97" s="45">
        <f t="shared" si="23"/>
        <v>2.1824612726467789</v>
      </c>
    </row>
    <row r="98" spans="1:12" ht="18.75" customHeight="1">
      <c r="B98" s="88" t="s">
        <v>294</v>
      </c>
      <c r="C98" s="89">
        <f t="shared" ref="C98:L98" si="24">C35/(C30+C35)</f>
        <v>0.69667063140483476</v>
      </c>
      <c r="D98" s="89">
        <f t="shared" si="24"/>
        <v>0.74956522652978907</v>
      </c>
      <c r="E98" s="89">
        <f t="shared" si="24"/>
        <v>0.69569593441760413</v>
      </c>
      <c r="F98" s="89">
        <f t="shared" si="24"/>
        <v>0.47110074514015027</v>
      </c>
      <c r="G98" s="89">
        <f t="shared" si="24"/>
        <v>0.60328575782233906</v>
      </c>
      <c r="H98" s="89">
        <f t="shared" si="24"/>
        <v>0.28131047305171747</v>
      </c>
      <c r="I98" s="89">
        <f t="shared" si="24"/>
        <v>0.2266435774138843</v>
      </c>
      <c r="J98" s="89">
        <f t="shared" si="24"/>
        <v>0.27316885389910783</v>
      </c>
      <c r="K98" s="89">
        <f t="shared" si="24"/>
        <v>0.52515184980673657</v>
      </c>
      <c r="L98" s="89">
        <f t="shared" si="24"/>
        <v>0.52515184980673657</v>
      </c>
    </row>
    <row r="99" spans="1:12" ht="18.75" customHeight="1">
      <c r="B99" s="79" t="s">
        <v>295</v>
      </c>
      <c r="C99" s="90">
        <f t="shared" ref="C99:L99" si="25">C63/C34</f>
        <v>0.33615498620465134</v>
      </c>
      <c r="D99" s="90">
        <f t="shared" si="25"/>
        <v>0.43132612996179165</v>
      </c>
      <c r="E99" s="90">
        <f t="shared" si="25"/>
        <v>0.20468282192390719</v>
      </c>
      <c r="F99" s="90">
        <f t="shared" si="25"/>
        <v>0.25461321915657686</v>
      </c>
      <c r="G99" s="90">
        <f t="shared" si="25"/>
        <v>0.29406174717795419</v>
      </c>
      <c r="H99" s="90">
        <f t="shared" si="25"/>
        <v>0.14579329152339937</v>
      </c>
      <c r="I99" s="90">
        <f t="shared" si="25"/>
        <v>1.5579065067380327E-2</v>
      </c>
      <c r="J99" s="90">
        <f t="shared" si="25"/>
        <v>5.4777855350579281E-2</v>
      </c>
      <c r="K99" s="90">
        <f t="shared" si="25"/>
        <v>0.14079424531339557</v>
      </c>
      <c r="L99" s="90">
        <f t="shared" si="25"/>
        <v>0.19865358141273365</v>
      </c>
    </row>
    <row r="100" spans="1:12" ht="18.75" customHeight="1">
      <c r="B100" s="79" t="s">
        <v>296</v>
      </c>
      <c r="C100" s="91">
        <f t="shared" ref="C100:L100" si="26">C63/(C63+C65)</f>
        <v>2.0217027425218848</v>
      </c>
      <c r="D100" s="91">
        <f t="shared" si="26"/>
        <v>5.6504376058540142</v>
      </c>
      <c r="E100" s="91">
        <f t="shared" si="26"/>
        <v>2.2419032346803895</v>
      </c>
      <c r="F100" s="91">
        <f t="shared" si="26"/>
        <v>12.48019125302376</v>
      </c>
      <c r="G100" s="91">
        <f t="shared" si="26"/>
        <v>1.6526601999809629</v>
      </c>
      <c r="H100" s="91">
        <f t="shared" si="26"/>
        <v>0.85325248508946328</v>
      </c>
      <c r="I100" s="91">
        <f t="shared" si="26"/>
        <v>0.45945005826390939</v>
      </c>
      <c r="J100" s="91">
        <f t="shared" si="26"/>
        <v>1.2845269556025372</v>
      </c>
      <c r="K100" s="91">
        <f t="shared" si="26"/>
        <v>1.4816204332930396</v>
      </c>
      <c r="L100" s="91">
        <f t="shared" si="26"/>
        <v>1.4182399156967973</v>
      </c>
    </row>
    <row r="101" spans="1:12" ht="18.75" customHeight="1">
      <c r="B101" s="79" t="s">
        <v>297</v>
      </c>
      <c r="C101" s="91">
        <f t="shared" ref="C101:L101" si="27">C63/C42</f>
        <v>9.7290774224543977E-2</v>
      </c>
      <c r="D101" s="91">
        <f t="shared" si="27"/>
        <v>0.12260287714456293</v>
      </c>
      <c r="E101" s="91">
        <f t="shared" si="27"/>
        <v>5.7688744855074039E-2</v>
      </c>
      <c r="F101" s="91">
        <f t="shared" si="27"/>
        <v>8.2396156336060525E-2</v>
      </c>
      <c r="G101" s="91">
        <f t="shared" si="27"/>
        <v>0.10926717256213622</v>
      </c>
      <c r="H101" s="91">
        <f t="shared" si="27"/>
        <v>5.4469984181360002E-2</v>
      </c>
      <c r="I101" s="91">
        <f t="shared" si="27"/>
        <v>2.6377828924047789E-2</v>
      </c>
      <c r="J101" s="91">
        <f t="shared" si="27"/>
        <v>4.5386339231523409E-2</v>
      </c>
      <c r="K101" s="91">
        <f t="shared" si="27"/>
        <v>6.7404854544599727E-2</v>
      </c>
      <c r="L101" s="91">
        <f t="shared" si="27"/>
        <v>5.9059754273060011E-2</v>
      </c>
    </row>
    <row r="102" spans="1:12" ht="18.75" customHeight="1"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</row>
    <row r="103" spans="1:12" ht="18.75" customHeight="1"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</row>
    <row r="104" spans="1:12" ht="18.75" customHeight="1"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</row>
    <row r="105" spans="1:12" ht="18.75" customHeight="1">
      <c r="B105" s="79"/>
      <c r="C105" s="79"/>
    </row>
    <row r="106" spans="1:12" ht="18.75" customHeight="1">
      <c r="B106" s="79"/>
      <c r="C106" s="79"/>
    </row>
    <row r="107" spans="1:12" ht="18.75" customHeight="1">
      <c r="B107" s="79"/>
      <c r="C107" s="79"/>
    </row>
    <row r="108" spans="1:12" ht="18.75" customHeight="1">
      <c r="B108" s="79"/>
    </row>
    <row r="109" spans="1:12" ht="18.75" customHeight="1">
      <c r="B109" s="79"/>
    </row>
    <row r="110" spans="1:12" ht="18.75" customHeight="1">
      <c r="B110" s="79"/>
    </row>
    <row r="111" spans="1:12" ht="18.75" customHeight="1">
      <c r="B111" s="79"/>
    </row>
    <row r="112" spans="1:12" ht="18.75" customHeight="1">
      <c r="B112" s="79"/>
    </row>
    <row r="113" spans="2:2" ht="18.75" customHeight="1">
      <c r="B113" s="79"/>
    </row>
    <row r="114" spans="2:2" ht="18.75" customHeight="1">
      <c r="B114" s="79"/>
    </row>
    <row r="115" spans="2:2" ht="18.75" customHeight="1">
      <c r="B115" s="79"/>
    </row>
    <row r="116" spans="2:2" ht="15.75" customHeight="1">
      <c r="B116" s="79"/>
    </row>
    <row r="117" spans="2:2" ht="15.75" customHeight="1">
      <c r="B117" s="79"/>
    </row>
    <row r="118" spans="2:2" ht="15.75" customHeight="1">
      <c r="B118" s="79"/>
    </row>
    <row r="119" spans="2:2" ht="15.75" customHeight="1">
      <c r="B119" s="79"/>
    </row>
    <row r="120" spans="2:2" ht="15.75" customHeight="1">
      <c r="B120" s="79"/>
    </row>
    <row r="121" spans="2:2" ht="15.75" customHeight="1">
      <c r="B121" s="79"/>
    </row>
    <row r="122" spans="2:2" ht="15.75" customHeight="1">
      <c r="B122" s="79"/>
    </row>
    <row r="123" spans="2:2" ht="15.75" customHeight="1">
      <c r="B123" s="79"/>
    </row>
    <row r="124" spans="2:2" ht="15.75" customHeight="1">
      <c r="B124" s="79"/>
    </row>
    <row r="125" spans="2:2" ht="15.75" customHeight="1">
      <c r="B125" s="79"/>
    </row>
    <row r="126" spans="2:2" ht="15.75" customHeight="1">
      <c r="B126" s="79"/>
    </row>
    <row r="127" spans="2:2" ht="15.75" customHeight="1">
      <c r="B127" s="79"/>
    </row>
    <row r="128" spans="2:2" ht="15.75" customHeight="1">
      <c r="B128" s="79"/>
    </row>
    <row r="129" spans="2:2" ht="15.75" customHeight="1">
      <c r="B129" s="79"/>
    </row>
    <row r="130" spans="2:2" ht="15.75" customHeight="1">
      <c r="B130" s="79"/>
    </row>
    <row r="131" spans="2:2" ht="15.75" customHeight="1">
      <c r="B131" s="79"/>
    </row>
    <row r="132" spans="2:2" ht="15.75" customHeight="1">
      <c r="B132" s="79"/>
    </row>
    <row r="133" spans="2:2" ht="15.75" customHeight="1">
      <c r="B133" s="79"/>
    </row>
    <row r="134" spans="2:2" ht="15.75" customHeight="1">
      <c r="B134" s="79"/>
    </row>
    <row r="135" spans="2:2" ht="15.75" customHeight="1">
      <c r="B135" s="79"/>
    </row>
    <row r="136" spans="2:2" ht="15.75" customHeight="1">
      <c r="B136" s="79"/>
    </row>
    <row r="137" spans="2:2" ht="15.75" customHeight="1">
      <c r="B137" s="79"/>
    </row>
    <row r="138" spans="2:2" ht="15.75" customHeight="1">
      <c r="B138" s="79"/>
    </row>
    <row r="139" spans="2:2" ht="15.75" customHeight="1">
      <c r="B139" s="79"/>
    </row>
    <row r="140" spans="2:2" ht="15.75" customHeight="1">
      <c r="B140" s="79"/>
    </row>
    <row r="141" spans="2:2" ht="15.75" customHeight="1">
      <c r="B141" s="79"/>
    </row>
    <row r="142" spans="2:2" ht="15.75" customHeight="1">
      <c r="B142" s="79"/>
    </row>
    <row r="143" spans="2:2" ht="15.75" customHeight="1">
      <c r="B143" s="79"/>
    </row>
    <row r="144" spans="2:2" ht="15.75" customHeight="1">
      <c r="B144" s="79"/>
    </row>
    <row r="145" spans="2:2" ht="15.75" customHeight="1">
      <c r="B145" s="79"/>
    </row>
    <row r="146" spans="2:2" ht="15.75" customHeight="1">
      <c r="B146" s="79"/>
    </row>
    <row r="147" spans="2:2" ht="15.75" customHeight="1">
      <c r="B147" s="79"/>
    </row>
    <row r="148" spans="2:2" ht="15.75" customHeight="1">
      <c r="B148" s="79"/>
    </row>
    <row r="149" spans="2:2" ht="15.75" customHeight="1">
      <c r="B149" s="79"/>
    </row>
    <row r="150" spans="2:2" ht="15.75" customHeight="1">
      <c r="B150" s="79"/>
    </row>
    <row r="151" spans="2:2" ht="15.75" customHeight="1">
      <c r="B151" s="79"/>
    </row>
    <row r="152" spans="2:2" ht="15.75" customHeight="1">
      <c r="B152" s="79"/>
    </row>
    <row r="153" spans="2:2" ht="15.75" customHeight="1">
      <c r="B153" s="79"/>
    </row>
    <row r="154" spans="2:2" ht="15.75" customHeight="1">
      <c r="B154" s="79"/>
    </row>
    <row r="155" spans="2:2" ht="15.75" customHeight="1">
      <c r="B155" s="79"/>
    </row>
    <row r="156" spans="2:2" ht="15.75" customHeight="1">
      <c r="B156" s="79"/>
    </row>
    <row r="157" spans="2:2" ht="15.75" customHeight="1">
      <c r="B157" s="79"/>
    </row>
    <row r="158" spans="2:2" ht="15.75" customHeight="1">
      <c r="B158" s="79"/>
    </row>
    <row r="159" spans="2:2" ht="15.75" customHeight="1">
      <c r="B159" s="79"/>
    </row>
    <row r="160" spans="2:2" ht="15.75" customHeight="1">
      <c r="B160" s="79"/>
    </row>
    <row r="161" spans="2:2" ht="15.75" customHeight="1">
      <c r="B161" s="79"/>
    </row>
    <row r="162" spans="2:2" ht="15.75" customHeight="1">
      <c r="B162" s="79"/>
    </row>
    <row r="163" spans="2:2" ht="15.75" customHeight="1">
      <c r="B163" s="79"/>
    </row>
    <row r="164" spans="2:2" ht="15.75" customHeight="1">
      <c r="B164" s="79"/>
    </row>
    <row r="165" spans="2:2" ht="15.75" customHeight="1">
      <c r="B165" s="79"/>
    </row>
    <row r="166" spans="2:2" ht="15.75" customHeight="1">
      <c r="B166" s="79"/>
    </row>
    <row r="167" spans="2:2" ht="15.75" customHeight="1">
      <c r="B167" s="79"/>
    </row>
    <row r="168" spans="2:2" ht="15.75" customHeight="1">
      <c r="B168" s="79"/>
    </row>
    <row r="169" spans="2:2" ht="15.75" customHeight="1">
      <c r="B169" s="79"/>
    </row>
    <row r="170" spans="2:2" ht="15.75" customHeight="1">
      <c r="B170" s="79"/>
    </row>
    <row r="171" spans="2:2" ht="15.75" customHeight="1">
      <c r="B171" s="79"/>
    </row>
    <row r="172" spans="2:2" ht="15.75" customHeight="1">
      <c r="B172" s="79"/>
    </row>
    <row r="173" spans="2:2" ht="15.75" customHeight="1">
      <c r="B173" s="79"/>
    </row>
    <row r="174" spans="2:2" ht="15.75" customHeight="1">
      <c r="B174" s="79"/>
    </row>
    <row r="175" spans="2:2" ht="15.75" customHeight="1">
      <c r="B175" s="79"/>
    </row>
    <row r="176" spans="2:2" ht="15.75" customHeight="1">
      <c r="B176" s="79"/>
    </row>
    <row r="177" spans="2:2" ht="15.75" customHeight="1">
      <c r="B177" s="79"/>
    </row>
    <row r="178" spans="2:2" ht="15.75" customHeight="1">
      <c r="B178" s="79"/>
    </row>
    <row r="179" spans="2:2" ht="15.75" customHeight="1">
      <c r="B179" s="79"/>
    </row>
    <row r="180" spans="2:2" ht="15.75" customHeight="1">
      <c r="B180" s="79"/>
    </row>
    <row r="181" spans="2:2" ht="15.75" customHeight="1">
      <c r="B181" s="79"/>
    </row>
    <row r="182" spans="2:2" ht="15.75" customHeight="1">
      <c r="B182" s="79"/>
    </row>
    <row r="183" spans="2:2" ht="15.75" customHeight="1">
      <c r="B183" s="79"/>
    </row>
    <row r="184" spans="2:2" ht="15.75" customHeight="1">
      <c r="B184" s="79"/>
    </row>
    <row r="185" spans="2:2" ht="15.75" customHeight="1">
      <c r="B185" s="79"/>
    </row>
    <row r="186" spans="2:2" ht="15.75" customHeight="1">
      <c r="B186" s="79"/>
    </row>
    <row r="187" spans="2:2" ht="15.75" customHeight="1">
      <c r="B187" s="79"/>
    </row>
    <row r="188" spans="2:2" ht="15.75" customHeight="1">
      <c r="B188" s="79"/>
    </row>
    <row r="189" spans="2:2" ht="15.75" customHeight="1">
      <c r="B189" s="79"/>
    </row>
    <row r="190" spans="2:2" ht="15.75" customHeight="1">
      <c r="B190" s="79"/>
    </row>
    <row r="191" spans="2:2" ht="15.75" customHeight="1">
      <c r="B191" s="79"/>
    </row>
    <row r="192" spans="2:2" ht="15.75" customHeight="1">
      <c r="B192" s="79"/>
    </row>
    <row r="193" spans="2:2" ht="15.75" customHeight="1">
      <c r="B193" s="79"/>
    </row>
    <row r="194" spans="2:2" ht="15.75" customHeight="1">
      <c r="B194" s="79"/>
    </row>
    <row r="195" spans="2:2" ht="15.75" customHeight="1">
      <c r="B195" s="79"/>
    </row>
    <row r="196" spans="2:2" ht="15.75" customHeight="1">
      <c r="B196" s="79"/>
    </row>
    <row r="197" spans="2:2" ht="15.75" customHeight="1">
      <c r="B197" s="79"/>
    </row>
    <row r="198" spans="2:2" ht="15.75" customHeight="1">
      <c r="B198" s="79"/>
    </row>
    <row r="199" spans="2:2" ht="15.75" customHeight="1">
      <c r="B199" s="79"/>
    </row>
    <row r="200" spans="2:2" ht="15.75" customHeight="1">
      <c r="B200" s="79"/>
    </row>
    <row r="201" spans="2:2" ht="15.75" customHeight="1">
      <c r="B201" s="79"/>
    </row>
    <row r="202" spans="2:2" ht="15.75" customHeight="1">
      <c r="B202" s="79"/>
    </row>
    <row r="203" spans="2:2" ht="15.75" customHeight="1">
      <c r="B203" s="79"/>
    </row>
    <row r="204" spans="2:2" ht="15.75" customHeight="1">
      <c r="B204" s="79"/>
    </row>
    <row r="205" spans="2:2" ht="15.75" customHeight="1">
      <c r="B205" s="79"/>
    </row>
    <row r="206" spans="2:2" ht="15.75" customHeight="1">
      <c r="B206" s="79"/>
    </row>
    <row r="207" spans="2:2" ht="15.75" customHeight="1">
      <c r="B207" s="79"/>
    </row>
    <row r="208" spans="2:2" ht="15.75" customHeight="1">
      <c r="B208" s="79"/>
    </row>
    <row r="209" spans="2:2" ht="15.75" customHeight="1">
      <c r="B209" s="79"/>
    </row>
    <row r="210" spans="2:2" ht="15.75" customHeight="1">
      <c r="B210" s="79"/>
    </row>
    <row r="211" spans="2:2" ht="15.75" customHeight="1">
      <c r="B211" s="79"/>
    </row>
    <row r="212" spans="2:2" ht="15.75" customHeight="1">
      <c r="B212" s="79"/>
    </row>
    <row r="213" spans="2:2" ht="15.75" customHeight="1">
      <c r="B213" s="79"/>
    </row>
    <row r="214" spans="2:2" ht="15.75" customHeight="1">
      <c r="B214" s="79"/>
    </row>
    <row r="215" spans="2:2" ht="15.75" customHeight="1">
      <c r="B215" s="79"/>
    </row>
    <row r="216" spans="2:2" ht="15.75" customHeight="1">
      <c r="B216" s="79"/>
    </row>
    <row r="217" spans="2:2" ht="15.75" customHeight="1">
      <c r="B217" s="79"/>
    </row>
    <row r="218" spans="2:2" ht="15.75" customHeight="1">
      <c r="B218" s="79"/>
    </row>
    <row r="219" spans="2:2" ht="15.75" customHeight="1">
      <c r="B219" s="79"/>
    </row>
    <row r="220" spans="2:2" ht="15.75" customHeight="1">
      <c r="B220" s="79"/>
    </row>
    <row r="221" spans="2:2" ht="15.75" customHeight="1">
      <c r="B221" s="79"/>
    </row>
    <row r="222" spans="2:2" ht="15.75" customHeight="1">
      <c r="B222" s="79"/>
    </row>
    <row r="223" spans="2:2" ht="15.75" customHeight="1">
      <c r="B223" s="79"/>
    </row>
    <row r="224" spans="2:2" ht="15.75" customHeight="1">
      <c r="B224" s="79"/>
    </row>
    <row r="225" spans="2:2" ht="15.75" customHeight="1">
      <c r="B225" s="79"/>
    </row>
    <row r="226" spans="2:2" ht="15.75" customHeight="1">
      <c r="B226" s="79"/>
    </row>
    <row r="227" spans="2:2" ht="15.75" customHeight="1">
      <c r="B227" s="79"/>
    </row>
    <row r="228" spans="2:2" ht="15.75" customHeight="1">
      <c r="B228" s="79"/>
    </row>
    <row r="229" spans="2:2" ht="15.75" customHeight="1">
      <c r="B229" s="79"/>
    </row>
    <row r="230" spans="2:2" ht="15.75" customHeight="1">
      <c r="B230" s="79"/>
    </row>
    <row r="231" spans="2:2" ht="15.75" customHeight="1">
      <c r="B231" s="79"/>
    </row>
    <row r="232" spans="2:2" ht="15.75" customHeight="1">
      <c r="B232" s="79"/>
    </row>
    <row r="233" spans="2:2" ht="15.75" customHeight="1">
      <c r="B233" s="79"/>
    </row>
    <row r="234" spans="2:2" ht="15.75" customHeight="1">
      <c r="B234" s="79"/>
    </row>
    <row r="235" spans="2:2" ht="15.75" customHeight="1">
      <c r="B235" s="79"/>
    </row>
    <row r="236" spans="2:2" ht="15.75" customHeight="1">
      <c r="B236" s="79"/>
    </row>
    <row r="237" spans="2:2" ht="15.75" customHeight="1">
      <c r="B237" s="79"/>
    </row>
    <row r="238" spans="2:2" ht="15.75" customHeight="1">
      <c r="B238" s="79"/>
    </row>
    <row r="239" spans="2:2" ht="15.75" customHeight="1">
      <c r="B239" s="79"/>
    </row>
    <row r="240" spans="2:2" ht="15.75" customHeight="1">
      <c r="B240" s="79"/>
    </row>
    <row r="241" spans="2:2" ht="15.75" customHeight="1">
      <c r="B241" s="79"/>
    </row>
    <row r="242" spans="2:2" ht="15.75" customHeight="1">
      <c r="B242" s="79"/>
    </row>
    <row r="243" spans="2:2" ht="15.75" customHeight="1">
      <c r="B243" s="79"/>
    </row>
    <row r="244" spans="2:2" ht="15.75" customHeight="1">
      <c r="B244" s="79"/>
    </row>
    <row r="245" spans="2:2" ht="15.75" customHeight="1">
      <c r="B245" s="79"/>
    </row>
    <row r="246" spans="2:2" ht="15.75" customHeight="1">
      <c r="B246" s="79"/>
    </row>
    <row r="247" spans="2:2" ht="15.75" customHeight="1">
      <c r="B247" s="79"/>
    </row>
    <row r="248" spans="2:2" ht="15.75" customHeight="1">
      <c r="B248" s="79"/>
    </row>
    <row r="249" spans="2:2" ht="15.75" customHeight="1">
      <c r="B249" s="79"/>
    </row>
    <row r="250" spans="2:2" ht="15.75" customHeight="1">
      <c r="B250" s="79"/>
    </row>
    <row r="251" spans="2:2" ht="15.75" customHeight="1">
      <c r="B251" s="79"/>
    </row>
    <row r="252" spans="2:2" ht="15.75" customHeight="1">
      <c r="B252" s="79"/>
    </row>
    <row r="253" spans="2:2" ht="15.75" customHeight="1">
      <c r="B253" s="79"/>
    </row>
    <row r="254" spans="2:2" ht="15.75" customHeight="1">
      <c r="B254" s="79"/>
    </row>
    <row r="255" spans="2:2" ht="15.75" customHeight="1">
      <c r="B255" s="79"/>
    </row>
    <row r="256" spans="2:2" ht="15.75" customHeight="1">
      <c r="B256" s="79"/>
    </row>
    <row r="257" spans="2:2" ht="15.75" customHeight="1">
      <c r="B257" s="79"/>
    </row>
    <row r="258" spans="2:2" ht="15.75" customHeight="1">
      <c r="B258" s="79"/>
    </row>
    <row r="259" spans="2:2" ht="15.75" customHeight="1">
      <c r="B259" s="79"/>
    </row>
    <row r="260" spans="2:2" ht="15.75" customHeight="1">
      <c r="B260" s="79"/>
    </row>
    <row r="261" spans="2:2" ht="15.75" customHeight="1">
      <c r="B261" s="79"/>
    </row>
    <row r="262" spans="2:2" ht="15.75" customHeight="1">
      <c r="B262" s="79"/>
    </row>
    <row r="263" spans="2:2" ht="15.75" customHeight="1">
      <c r="B263" s="79"/>
    </row>
    <row r="264" spans="2:2" ht="15.75" customHeight="1">
      <c r="B264" s="79"/>
    </row>
    <row r="265" spans="2:2" ht="15.75" customHeight="1">
      <c r="B265" s="79"/>
    </row>
    <row r="266" spans="2:2" ht="15.75" customHeight="1">
      <c r="B266" s="79"/>
    </row>
    <row r="267" spans="2:2" ht="15.75" customHeight="1">
      <c r="B267" s="79"/>
    </row>
    <row r="268" spans="2:2" ht="15.75" customHeight="1">
      <c r="B268" s="79"/>
    </row>
    <row r="269" spans="2:2" ht="15.75" customHeight="1">
      <c r="B269" s="79"/>
    </row>
    <row r="270" spans="2:2" ht="15.75" customHeight="1">
      <c r="B270" s="79"/>
    </row>
    <row r="271" spans="2:2" ht="15.75" customHeight="1">
      <c r="B271" s="79"/>
    </row>
    <row r="272" spans="2:2" ht="15.75" customHeight="1">
      <c r="B272" s="79"/>
    </row>
    <row r="273" spans="2:2" ht="15.75" customHeight="1">
      <c r="B273" s="79"/>
    </row>
    <row r="274" spans="2:2" ht="15.75" customHeight="1">
      <c r="B274" s="79"/>
    </row>
    <row r="275" spans="2:2" ht="15.75" customHeight="1">
      <c r="B275" s="79"/>
    </row>
    <row r="276" spans="2:2" ht="15.75" customHeight="1">
      <c r="B276" s="79"/>
    </row>
    <row r="277" spans="2:2" ht="15.75" customHeight="1">
      <c r="B277" s="79"/>
    </row>
    <row r="278" spans="2:2" ht="15.75" customHeight="1">
      <c r="B278" s="79"/>
    </row>
    <row r="279" spans="2:2" ht="15.75" customHeight="1">
      <c r="B279" s="79"/>
    </row>
    <row r="280" spans="2:2" ht="15.75" customHeight="1">
      <c r="B280" s="79"/>
    </row>
    <row r="281" spans="2:2" ht="15.75" customHeight="1">
      <c r="B281" s="79"/>
    </row>
    <row r="282" spans="2:2" ht="15.75" customHeight="1">
      <c r="B282" s="79"/>
    </row>
    <row r="283" spans="2:2" ht="15.75" customHeight="1">
      <c r="B283" s="79"/>
    </row>
    <row r="284" spans="2:2" ht="15.75" customHeight="1">
      <c r="B284" s="79"/>
    </row>
    <row r="285" spans="2:2" ht="15.75" customHeight="1">
      <c r="B285" s="79"/>
    </row>
    <row r="286" spans="2:2" ht="15.75" customHeight="1">
      <c r="B286" s="79"/>
    </row>
    <row r="287" spans="2:2" ht="15.75" customHeight="1">
      <c r="B287" s="79"/>
    </row>
    <row r="288" spans="2:2" ht="15.75" customHeight="1">
      <c r="B288" s="79"/>
    </row>
    <row r="289" spans="2:2" ht="15.75" customHeight="1">
      <c r="B289" s="79"/>
    </row>
    <row r="290" spans="2:2" ht="15.75" customHeight="1">
      <c r="B290" s="79"/>
    </row>
    <row r="291" spans="2:2" ht="15.75" customHeight="1">
      <c r="B291" s="79"/>
    </row>
    <row r="292" spans="2:2" ht="15.75" customHeight="1">
      <c r="B292" s="79"/>
    </row>
    <row r="293" spans="2:2" ht="15.75" customHeight="1">
      <c r="B293" s="79"/>
    </row>
    <row r="294" spans="2:2" ht="15.75" customHeight="1">
      <c r="B294" s="79"/>
    </row>
    <row r="295" spans="2:2" ht="15.75" customHeight="1">
      <c r="B295" s="79"/>
    </row>
    <row r="296" spans="2:2" ht="15.75" customHeight="1">
      <c r="B296" s="79"/>
    </row>
    <row r="297" spans="2:2" ht="15.75" customHeight="1">
      <c r="B297" s="79"/>
    </row>
    <row r="298" spans="2:2" ht="15.75" customHeight="1">
      <c r="B298" s="79"/>
    </row>
    <row r="299" spans="2:2" ht="15.75" customHeight="1">
      <c r="B299" s="79"/>
    </row>
    <row r="300" spans="2:2" ht="15.75" customHeight="1">
      <c r="B300" s="79"/>
    </row>
    <row r="301" spans="2:2" ht="15.75" customHeight="1">
      <c r="B301" s="79"/>
    </row>
    <row r="302" spans="2:2" ht="15.75" customHeight="1">
      <c r="B302" s="79"/>
    </row>
    <row r="303" spans="2:2" ht="15.75" customHeight="1">
      <c r="B303" s="79"/>
    </row>
    <row r="304" spans="2:2" ht="15.75" customHeight="1">
      <c r="B304" s="79"/>
    </row>
    <row r="305" spans="2:2" ht="15.75" customHeight="1">
      <c r="B305" s="79"/>
    </row>
    <row r="306" spans="2:2" ht="15.75" customHeight="1">
      <c r="B306" s="79"/>
    </row>
    <row r="307" spans="2:2" ht="15.75" customHeight="1">
      <c r="B307" s="79"/>
    </row>
    <row r="308" spans="2:2" ht="15.75" customHeight="1">
      <c r="B308" s="79"/>
    </row>
    <row r="309" spans="2:2" ht="15.75" customHeight="1">
      <c r="B309" s="79"/>
    </row>
    <row r="310" spans="2:2" ht="15.75" customHeight="1">
      <c r="B310" s="79"/>
    </row>
    <row r="311" spans="2:2" ht="15.75" customHeight="1">
      <c r="B311" s="79"/>
    </row>
    <row r="312" spans="2:2" ht="15.75" customHeight="1">
      <c r="B312" s="79"/>
    </row>
    <row r="313" spans="2:2" ht="15.75" customHeight="1">
      <c r="B313" s="79"/>
    </row>
    <row r="314" spans="2:2" ht="15.75" customHeight="1">
      <c r="B314" s="79"/>
    </row>
    <row r="315" spans="2:2" ht="15.75" customHeight="1">
      <c r="B315" s="79"/>
    </row>
    <row r="316" spans="2:2" ht="15.75" customHeight="1">
      <c r="B316" s="79"/>
    </row>
    <row r="317" spans="2:2" ht="15.75" customHeight="1">
      <c r="B317" s="79"/>
    </row>
    <row r="318" spans="2:2" ht="15.75" customHeight="1">
      <c r="B318" s="79"/>
    </row>
    <row r="319" spans="2:2" ht="15.75" customHeight="1">
      <c r="B319" s="79"/>
    </row>
    <row r="320" spans="2:2" ht="15.75" customHeight="1">
      <c r="B320" s="79"/>
    </row>
    <row r="321" spans="2:2" ht="15.75" customHeight="1">
      <c r="B321" s="79"/>
    </row>
    <row r="322" spans="2:2" ht="15.75" customHeight="1">
      <c r="B322" s="79"/>
    </row>
    <row r="323" spans="2:2" ht="15.75" customHeight="1">
      <c r="B323" s="79"/>
    </row>
    <row r="324" spans="2:2" ht="15.75" customHeight="1">
      <c r="B324" s="79"/>
    </row>
    <row r="325" spans="2:2" ht="15.75" customHeight="1">
      <c r="B325" s="79"/>
    </row>
    <row r="326" spans="2:2" ht="15.75" customHeight="1">
      <c r="B326" s="79"/>
    </row>
    <row r="327" spans="2:2" ht="15.75" customHeight="1">
      <c r="B327" s="79"/>
    </row>
    <row r="328" spans="2:2" ht="15.75" customHeight="1">
      <c r="B328" s="79"/>
    </row>
    <row r="329" spans="2:2" ht="15.75" customHeight="1">
      <c r="B329" s="79"/>
    </row>
    <row r="330" spans="2:2" ht="15.75" customHeight="1">
      <c r="B330" s="79"/>
    </row>
    <row r="331" spans="2:2" ht="15.75" customHeight="1">
      <c r="B331" s="79"/>
    </row>
    <row r="332" spans="2:2" ht="15.75" customHeight="1">
      <c r="B332" s="79"/>
    </row>
    <row r="333" spans="2:2" ht="15.75" customHeight="1">
      <c r="B333" s="79"/>
    </row>
    <row r="334" spans="2:2" ht="15.75" customHeight="1">
      <c r="B334" s="79"/>
    </row>
    <row r="335" spans="2:2" ht="15.75" customHeight="1">
      <c r="B335" s="79"/>
    </row>
    <row r="336" spans="2:2" ht="15.75" customHeight="1">
      <c r="B336" s="79"/>
    </row>
    <row r="337" spans="2:2" ht="15.75" customHeight="1">
      <c r="B337" s="79"/>
    </row>
    <row r="338" spans="2:2" ht="15.75" customHeight="1">
      <c r="B338" s="79"/>
    </row>
    <row r="339" spans="2:2" ht="15.75" customHeight="1">
      <c r="B339" s="79"/>
    </row>
    <row r="340" spans="2:2" ht="15.75" customHeight="1">
      <c r="B340" s="79"/>
    </row>
    <row r="341" spans="2:2" ht="15.75" customHeight="1">
      <c r="B341" s="79"/>
    </row>
    <row r="342" spans="2:2" ht="15.75" customHeight="1">
      <c r="B342" s="79"/>
    </row>
    <row r="343" spans="2:2" ht="15.75" customHeight="1">
      <c r="B343" s="79"/>
    </row>
    <row r="344" spans="2:2" ht="15.75" customHeight="1">
      <c r="B344" s="79"/>
    </row>
    <row r="345" spans="2:2" ht="15.75" customHeight="1">
      <c r="B345" s="79"/>
    </row>
    <row r="346" spans="2:2" ht="15.75" customHeight="1">
      <c r="B346" s="79"/>
    </row>
    <row r="347" spans="2:2" ht="15.75" customHeight="1">
      <c r="B347" s="79"/>
    </row>
    <row r="348" spans="2:2" ht="15.75" customHeight="1">
      <c r="B348" s="79"/>
    </row>
    <row r="349" spans="2:2" ht="15.75" customHeight="1">
      <c r="B349" s="79"/>
    </row>
    <row r="350" spans="2:2" ht="15.75" customHeight="1">
      <c r="B350" s="79"/>
    </row>
    <row r="351" spans="2:2" ht="15.75" customHeight="1">
      <c r="B351" s="79"/>
    </row>
    <row r="352" spans="2:2" ht="15.75" customHeight="1">
      <c r="B352" s="79"/>
    </row>
    <row r="353" spans="2:2" ht="15.75" customHeight="1">
      <c r="B353" s="79"/>
    </row>
    <row r="354" spans="2:2" ht="15.75" customHeight="1">
      <c r="B354" s="79"/>
    </row>
    <row r="355" spans="2:2" ht="15.75" customHeight="1">
      <c r="B355" s="79"/>
    </row>
    <row r="356" spans="2:2" ht="15.75" customHeight="1">
      <c r="B356" s="79"/>
    </row>
    <row r="357" spans="2:2" ht="15.75" customHeight="1">
      <c r="B357" s="79"/>
    </row>
    <row r="358" spans="2:2" ht="15.75" customHeight="1">
      <c r="B358" s="79"/>
    </row>
    <row r="359" spans="2:2" ht="15.75" customHeight="1">
      <c r="B359" s="79"/>
    </row>
    <row r="360" spans="2:2" ht="15.75" customHeight="1">
      <c r="B360" s="79"/>
    </row>
    <row r="361" spans="2:2" ht="15.75" customHeight="1">
      <c r="B361" s="79"/>
    </row>
    <row r="362" spans="2:2" ht="15.75" customHeight="1">
      <c r="B362" s="79"/>
    </row>
    <row r="363" spans="2:2" ht="15.75" customHeight="1">
      <c r="B363" s="79"/>
    </row>
    <row r="364" spans="2:2" ht="15.75" customHeight="1">
      <c r="B364" s="79"/>
    </row>
    <row r="365" spans="2:2" ht="15.75" customHeight="1">
      <c r="B365" s="79"/>
    </row>
    <row r="366" spans="2:2" ht="15.75" customHeight="1">
      <c r="B366" s="79"/>
    </row>
    <row r="367" spans="2:2" ht="15.75" customHeight="1">
      <c r="B367" s="79"/>
    </row>
    <row r="368" spans="2:2" ht="15.75" customHeight="1">
      <c r="B368" s="79"/>
    </row>
    <row r="369" spans="2:2" ht="15.75" customHeight="1">
      <c r="B369" s="79"/>
    </row>
    <row r="370" spans="2:2" ht="15.75" customHeight="1">
      <c r="B370" s="79"/>
    </row>
    <row r="371" spans="2:2" ht="15.75" customHeight="1">
      <c r="B371" s="79"/>
    </row>
    <row r="372" spans="2:2" ht="15.75" customHeight="1">
      <c r="B372" s="79"/>
    </row>
    <row r="373" spans="2:2" ht="15.75" customHeight="1">
      <c r="B373" s="79"/>
    </row>
    <row r="374" spans="2:2" ht="15.75" customHeight="1">
      <c r="B374" s="79"/>
    </row>
    <row r="375" spans="2:2" ht="15.75" customHeight="1">
      <c r="B375" s="79"/>
    </row>
    <row r="376" spans="2:2" ht="15.75" customHeight="1">
      <c r="B376" s="79"/>
    </row>
    <row r="377" spans="2:2" ht="15.75" customHeight="1">
      <c r="B377" s="79"/>
    </row>
    <row r="378" spans="2:2" ht="15.75" customHeight="1">
      <c r="B378" s="79"/>
    </row>
    <row r="379" spans="2:2" ht="15.75" customHeight="1">
      <c r="B379" s="79"/>
    </row>
    <row r="380" spans="2:2" ht="15.75" customHeight="1">
      <c r="B380" s="79"/>
    </row>
    <row r="381" spans="2:2" ht="15.75" customHeight="1">
      <c r="B381" s="79"/>
    </row>
    <row r="382" spans="2:2" ht="15.75" customHeight="1">
      <c r="B382" s="79"/>
    </row>
    <row r="383" spans="2:2" ht="15.75" customHeight="1">
      <c r="B383" s="79"/>
    </row>
    <row r="384" spans="2:2" ht="15.75" customHeight="1">
      <c r="B384" s="79"/>
    </row>
    <row r="385" spans="2:2" ht="15.75" customHeight="1">
      <c r="B385" s="79"/>
    </row>
    <row r="386" spans="2:2" ht="15.75" customHeight="1">
      <c r="B386" s="79"/>
    </row>
    <row r="387" spans="2:2" ht="15.75" customHeight="1">
      <c r="B387" s="79"/>
    </row>
    <row r="388" spans="2:2" ht="15.75" customHeight="1">
      <c r="B388" s="79"/>
    </row>
    <row r="389" spans="2:2" ht="15.75" customHeight="1">
      <c r="B389" s="79"/>
    </row>
    <row r="390" spans="2:2" ht="15.75" customHeight="1">
      <c r="B390" s="79"/>
    </row>
    <row r="391" spans="2:2" ht="15.75" customHeight="1">
      <c r="B391" s="79"/>
    </row>
    <row r="392" spans="2:2" ht="15.75" customHeight="1">
      <c r="B392" s="79"/>
    </row>
    <row r="393" spans="2:2" ht="15.75" customHeight="1">
      <c r="B393" s="79"/>
    </row>
    <row r="394" spans="2:2" ht="15.75" customHeight="1">
      <c r="B394" s="79"/>
    </row>
    <row r="395" spans="2:2" ht="15.75" customHeight="1">
      <c r="B395" s="79"/>
    </row>
    <row r="396" spans="2:2" ht="15.75" customHeight="1">
      <c r="B396" s="79"/>
    </row>
    <row r="397" spans="2:2" ht="15.75" customHeight="1">
      <c r="B397" s="79"/>
    </row>
    <row r="398" spans="2:2" ht="15.75" customHeight="1">
      <c r="B398" s="79"/>
    </row>
    <row r="399" spans="2:2" ht="15.75" customHeight="1">
      <c r="B399" s="79"/>
    </row>
    <row r="400" spans="2:2" ht="15.75" customHeight="1">
      <c r="B400" s="79"/>
    </row>
    <row r="401" spans="2:2" ht="15.75" customHeight="1">
      <c r="B401" s="79"/>
    </row>
    <row r="402" spans="2:2" ht="15.75" customHeight="1">
      <c r="B402" s="79"/>
    </row>
    <row r="403" spans="2:2" ht="15.75" customHeight="1">
      <c r="B403" s="79"/>
    </row>
    <row r="404" spans="2:2" ht="15.75" customHeight="1">
      <c r="B404" s="79"/>
    </row>
    <row r="405" spans="2:2" ht="15.75" customHeight="1">
      <c r="B405" s="79"/>
    </row>
    <row r="406" spans="2:2" ht="15.75" customHeight="1">
      <c r="B406" s="79"/>
    </row>
    <row r="407" spans="2:2" ht="15.75" customHeight="1">
      <c r="B407" s="79"/>
    </row>
    <row r="408" spans="2:2" ht="15.75" customHeight="1">
      <c r="B408" s="79"/>
    </row>
    <row r="409" spans="2:2" ht="15.75" customHeight="1">
      <c r="B409" s="79"/>
    </row>
    <row r="410" spans="2:2" ht="15.75" customHeight="1">
      <c r="B410" s="79"/>
    </row>
    <row r="411" spans="2:2" ht="15.75" customHeight="1">
      <c r="B411" s="79"/>
    </row>
    <row r="412" spans="2:2" ht="15.75" customHeight="1">
      <c r="B412" s="79"/>
    </row>
    <row r="413" spans="2:2" ht="15.75" customHeight="1">
      <c r="B413" s="79"/>
    </row>
    <row r="414" spans="2:2" ht="15.75" customHeight="1">
      <c r="B414" s="79"/>
    </row>
    <row r="415" spans="2:2" ht="15.75" customHeight="1">
      <c r="B415" s="79"/>
    </row>
    <row r="416" spans="2:2" ht="15.75" customHeight="1">
      <c r="B416" s="79"/>
    </row>
    <row r="417" spans="2:2" ht="15.75" customHeight="1">
      <c r="B417" s="79"/>
    </row>
    <row r="418" spans="2:2" ht="15.75" customHeight="1">
      <c r="B418" s="79"/>
    </row>
    <row r="419" spans="2:2" ht="15.75" customHeight="1">
      <c r="B419" s="79"/>
    </row>
    <row r="420" spans="2:2" ht="15.75" customHeight="1">
      <c r="B420" s="79"/>
    </row>
    <row r="421" spans="2:2" ht="15.75" customHeight="1">
      <c r="B421" s="79"/>
    </row>
    <row r="422" spans="2:2" ht="15.75" customHeight="1">
      <c r="B422" s="79"/>
    </row>
    <row r="423" spans="2:2" ht="15.75" customHeight="1">
      <c r="B423" s="79"/>
    </row>
    <row r="424" spans="2:2" ht="15.75" customHeight="1">
      <c r="B424" s="79"/>
    </row>
    <row r="425" spans="2:2" ht="15.75" customHeight="1">
      <c r="B425" s="79"/>
    </row>
    <row r="426" spans="2:2" ht="15.75" customHeight="1">
      <c r="B426" s="79"/>
    </row>
    <row r="427" spans="2:2" ht="15.75" customHeight="1">
      <c r="B427" s="79"/>
    </row>
    <row r="428" spans="2:2" ht="15.75" customHeight="1">
      <c r="B428" s="79"/>
    </row>
    <row r="429" spans="2:2" ht="15.75" customHeight="1">
      <c r="B429" s="79"/>
    </row>
    <row r="430" spans="2:2" ht="15.75" customHeight="1">
      <c r="B430" s="79"/>
    </row>
    <row r="431" spans="2:2" ht="15.75" customHeight="1">
      <c r="B431" s="79"/>
    </row>
    <row r="432" spans="2:2" ht="15.75" customHeight="1">
      <c r="B432" s="79"/>
    </row>
    <row r="433" spans="2:2" ht="15.75" customHeight="1">
      <c r="B433" s="79"/>
    </row>
    <row r="434" spans="2:2" ht="15.75" customHeight="1">
      <c r="B434" s="79"/>
    </row>
    <row r="435" spans="2:2" ht="15.75" customHeight="1">
      <c r="B435" s="79"/>
    </row>
    <row r="436" spans="2:2" ht="15.75" customHeight="1">
      <c r="B436" s="79"/>
    </row>
    <row r="437" spans="2:2" ht="15.75" customHeight="1">
      <c r="B437" s="79"/>
    </row>
    <row r="438" spans="2:2" ht="15.75" customHeight="1">
      <c r="B438" s="79"/>
    </row>
    <row r="439" spans="2:2" ht="15.75" customHeight="1">
      <c r="B439" s="79"/>
    </row>
    <row r="440" spans="2:2" ht="15.75" customHeight="1">
      <c r="B440" s="79"/>
    </row>
    <row r="441" spans="2:2" ht="15.75" customHeight="1">
      <c r="B441" s="79"/>
    </row>
    <row r="442" spans="2:2" ht="15.75" customHeight="1">
      <c r="B442" s="79"/>
    </row>
    <row r="443" spans="2:2" ht="15.75" customHeight="1">
      <c r="B443" s="79"/>
    </row>
    <row r="444" spans="2:2" ht="15.75" customHeight="1">
      <c r="B444" s="79"/>
    </row>
    <row r="445" spans="2:2" ht="15.75" customHeight="1">
      <c r="B445" s="79"/>
    </row>
    <row r="446" spans="2:2" ht="15.75" customHeight="1">
      <c r="B446" s="79"/>
    </row>
    <row r="447" spans="2:2" ht="15.75" customHeight="1">
      <c r="B447" s="79"/>
    </row>
    <row r="448" spans="2:2" ht="15.75" customHeight="1">
      <c r="B448" s="79"/>
    </row>
    <row r="449" spans="2:2" ht="15.75" customHeight="1">
      <c r="B449" s="79"/>
    </row>
    <row r="450" spans="2:2" ht="15.75" customHeight="1">
      <c r="B450" s="79"/>
    </row>
    <row r="451" spans="2:2" ht="15.75" customHeight="1">
      <c r="B451" s="79"/>
    </row>
    <row r="452" spans="2:2" ht="15.75" customHeight="1">
      <c r="B452" s="79"/>
    </row>
    <row r="453" spans="2:2" ht="15.75" customHeight="1">
      <c r="B453" s="79"/>
    </row>
    <row r="454" spans="2:2" ht="15.75" customHeight="1">
      <c r="B454" s="79"/>
    </row>
    <row r="455" spans="2:2" ht="15.75" customHeight="1">
      <c r="B455" s="79"/>
    </row>
    <row r="456" spans="2:2" ht="15.75" customHeight="1">
      <c r="B456" s="79"/>
    </row>
    <row r="457" spans="2:2" ht="15.75" customHeight="1">
      <c r="B457" s="79"/>
    </row>
    <row r="458" spans="2:2" ht="15.75" customHeight="1">
      <c r="B458" s="79"/>
    </row>
    <row r="459" spans="2:2" ht="15.75" customHeight="1">
      <c r="B459" s="79"/>
    </row>
    <row r="460" spans="2:2" ht="15.75" customHeight="1">
      <c r="B460" s="79"/>
    </row>
    <row r="461" spans="2:2" ht="15.75" customHeight="1">
      <c r="B461" s="79"/>
    </row>
    <row r="462" spans="2:2" ht="15.75" customHeight="1">
      <c r="B462" s="79"/>
    </row>
    <row r="463" spans="2:2" ht="15.75" customHeight="1">
      <c r="B463" s="79"/>
    </row>
    <row r="464" spans="2:2" ht="15.75" customHeight="1">
      <c r="B464" s="79"/>
    </row>
    <row r="465" spans="2:2" ht="15.75" customHeight="1">
      <c r="B465" s="79"/>
    </row>
    <row r="466" spans="2:2" ht="15.75" customHeight="1">
      <c r="B466" s="79"/>
    </row>
    <row r="467" spans="2:2" ht="15.75" customHeight="1">
      <c r="B467" s="79"/>
    </row>
    <row r="468" spans="2:2" ht="15.75" customHeight="1">
      <c r="B468" s="79"/>
    </row>
    <row r="469" spans="2:2" ht="15.75" customHeight="1">
      <c r="B469" s="79"/>
    </row>
    <row r="470" spans="2:2" ht="15.75" customHeight="1">
      <c r="B470" s="79"/>
    </row>
    <row r="471" spans="2:2" ht="15.75" customHeight="1">
      <c r="B471" s="79"/>
    </row>
    <row r="472" spans="2:2" ht="15.75" customHeight="1">
      <c r="B472" s="79"/>
    </row>
    <row r="473" spans="2:2" ht="15.75" customHeight="1">
      <c r="B473" s="79"/>
    </row>
    <row r="474" spans="2:2" ht="15.75" customHeight="1">
      <c r="B474" s="79"/>
    </row>
    <row r="475" spans="2:2" ht="15.75" customHeight="1">
      <c r="B475" s="79"/>
    </row>
    <row r="476" spans="2:2" ht="15.75" customHeight="1">
      <c r="B476" s="79"/>
    </row>
    <row r="477" spans="2:2" ht="15.75" customHeight="1">
      <c r="B477" s="79"/>
    </row>
    <row r="478" spans="2:2" ht="15.75" customHeight="1">
      <c r="B478" s="79"/>
    </row>
    <row r="479" spans="2:2" ht="15.75" customHeight="1">
      <c r="B479" s="79"/>
    </row>
    <row r="480" spans="2:2" ht="15.75" customHeight="1">
      <c r="B480" s="79"/>
    </row>
    <row r="481" spans="2:2" ht="15.75" customHeight="1">
      <c r="B481" s="79"/>
    </row>
    <row r="482" spans="2:2" ht="15.75" customHeight="1">
      <c r="B482" s="79"/>
    </row>
    <row r="483" spans="2:2" ht="15.75" customHeight="1">
      <c r="B483" s="79"/>
    </row>
    <row r="484" spans="2:2" ht="15.75" customHeight="1">
      <c r="B484" s="79"/>
    </row>
    <row r="485" spans="2:2" ht="15.75" customHeight="1">
      <c r="B485" s="79"/>
    </row>
    <row r="486" spans="2:2" ht="15.75" customHeight="1">
      <c r="B486" s="79"/>
    </row>
    <row r="487" spans="2:2" ht="15.75" customHeight="1">
      <c r="B487" s="79"/>
    </row>
    <row r="488" spans="2:2" ht="15.75" customHeight="1">
      <c r="B488" s="79"/>
    </row>
    <row r="489" spans="2:2" ht="15.75" customHeight="1">
      <c r="B489" s="79"/>
    </row>
    <row r="490" spans="2:2" ht="15.75" customHeight="1">
      <c r="B490" s="79"/>
    </row>
    <row r="491" spans="2:2" ht="15.75" customHeight="1">
      <c r="B491" s="79"/>
    </row>
    <row r="492" spans="2:2" ht="15.75" customHeight="1">
      <c r="B492" s="79"/>
    </row>
    <row r="493" spans="2:2" ht="15.75" customHeight="1">
      <c r="B493" s="79"/>
    </row>
    <row r="494" spans="2:2" ht="15.75" customHeight="1">
      <c r="B494" s="79"/>
    </row>
    <row r="495" spans="2:2" ht="15.75" customHeight="1">
      <c r="B495" s="79"/>
    </row>
    <row r="496" spans="2:2" ht="15.75" customHeight="1">
      <c r="B496" s="79"/>
    </row>
    <row r="497" spans="2:2" ht="15.75" customHeight="1">
      <c r="B497" s="79"/>
    </row>
    <row r="498" spans="2:2" ht="15.75" customHeight="1">
      <c r="B498" s="79"/>
    </row>
    <row r="499" spans="2:2" ht="15.75" customHeight="1">
      <c r="B499" s="79"/>
    </row>
    <row r="500" spans="2:2" ht="15.75" customHeight="1">
      <c r="B500" s="79"/>
    </row>
    <row r="501" spans="2:2" ht="15.75" customHeight="1">
      <c r="B501" s="79"/>
    </row>
    <row r="502" spans="2:2" ht="15.75" customHeight="1">
      <c r="B502" s="79"/>
    </row>
    <row r="503" spans="2:2" ht="15.75" customHeight="1">
      <c r="B503" s="79"/>
    </row>
    <row r="504" spans="2:2" ht="15.75" customHeight="1">
      <c r="B504" s="79"/>
    </row>
    <row r="505" spans="2:2" ht="15.75" customHeight="1">
      <c r="B505" s="79"/>
    </row>
    <row r="506" spans="2:2" ht="15.75" customHeight="1">
      <c r="B506" s="79"/>
    </row>
    <row r="507" spans="2:2" ht="15.75" customHeight="1">
      <c r="B507" s="79"/>
    </row>
    <row r="508" spans="2:2" ht="15.75" customHeight="1">
      <c r="B508" s="79"/>
    </row>
    <row r="509" spans="2:2" ht="15.75" customHeight="1">
      <c r="B509" s="79"/>
    </row>
    <row r="510" spans="2:2" ht="15.75" customHeight="1">
      <c r="B510" s="79"/>
    </row>
    <row r="511" spans="2:2" ht="15.75" customHeight="1">
      <c r="B511" s="79"/>
    </row>
    <row r="512" spans="2:2" ht="15.75" customHeight="1">
      <c r="B512" s="79"/>
    </row>
    <row r="513" spans="2:2" ht="15.75" customHeight="1">
      <c r="B513" s="79"/>
    </row>
    <row r="514" spans="2:2" ht="15.75" customHeight="1">
      <c r="B514" s="79"/>
    </row>
    <row r="515" spans="2:2" ht="15.75" customHeight="1">
      <c r="B515" s="79"/>
    </row>
    <row r="516" spans="2:2" ht="15.75" customHeight="1">
      <c r="B516" s="79"/>
    </row>
    <row r="517" spans="2:2" ht="15.75" customHeight="1">
      <c r="B517" s="79"/>
    </row>
    <row r="518" spans="2:2" ht="15.75" customHeight="1">
      <c r="B518" s="79"/>
    </row>
    <row r="519" spans="2:2" ht="15.75" customHeight="1">
      <c r="B519" s="79"/>
    </row>
    <row r="520" spans="2:2" ht="15.75" customHeight="1">
      <c r="B520" s="79"/>
    </row>
    <row r="521" spans="2:2" ht="15.75" customHeight="1">
      <c r="B521" s="79"/>
    </row>
    <row r="522" spans="2:2" ht="15.75" customHeight="1">
      <c r="B522" s="79"/>
    </row>
    <row r="523" spans="2:2" ht="15.75" customHeight="1">
      <c r="B523" s="79"/>
    </row>
    <row r="524" spans="2:2" ht="15.75" customHeight="1">
      <c r="B524" s="79"/>
    </row>
    <row r="525" spans="2:2" ht="15.75" customHeight="1">
      <c r="B525" s="79"/>
    </row>
    <row r="526" spans="2:2" ht="15.75" customHeight="1">
      <c r="B526" s="79"/>
    </row>
    <row r="527" spans="2:2" ht="15.75" customHeight="1">
      <c r="B527" s="79"/>
    </row>
    <row r="528" spans="2:2" ht="15.75" customHeight="1">
      <c r="B528" s="79"/>
    </row>
    <row r="529" spans="2:2" ht="15.75" customHeight="1">
      <c r="B529" s="79"/>
    </row>
    <row r="530" spans="2:2" ht="15.75" customHeight="1">
      <c r="B530" s="79"/>
    </row>
    <row r="531" spans="2:2" ht="15.75" customHeight="1">
      <c r="B531" s="79"/>
    </row>
    <row r="532" spans="2:2" ht="15.75" customHeight="1">
      <c r="B532" s="79"/>
    </row>
    <row r="533" spans="2:2" ht="15.75" customHeight="1">
      <c r="B533" s="79"/>
    </row>
    <row r="534" spans="2:2" ht="15.75" customHeight="1">
      <c r="B534" s="79"/>
    </row>
    <row r="535" spans="2:2" ht="15.75" customHeight="1">
      <c r="B535" s="79"/>
    </row>
    <row r="536" spans="2:2" ht="15.75" customHeight="1">
      <c r="B536" s="79"/>
    </row>
    <row r="537" spans="2:2" ht="15.75" customHeight="1">
      <c r="B537" s="79"/>
    </row>
    <row r="538" spans="2:2" ht="15.75" customHeight="1">
      <c r="B538" s="79"/>
    </row>
    <row r="539" spans="2:2" ht="15.75" customHeight="1">
      <c r="B539" s="79"/>
    </row>
    <row r="540" spans="2:2" ht="15.75" customHeight="1">
      <c r="B540" s="79"/>
    </row>
    <row r="541" spans="2:2" ht="15.75" customHeight="1">
      <c r="B541" s="79"/>
    </row>
    <row r="542" spans="2:2" ht="15.75" customHeight="1">
      <c r="B542" s="79"/>
    </row>
    <row r="543" spans="2:2" ht="15.75" customHeight="1">
      <c r="B543" s="79"/>
    </row>
    <row r="544" spans="2:2" ht="15.75" customHeight="1">
      <c r="B544" s="79"/>
    </row>
    <row r="545" spans="2:2" ht="15.75" customHeight="1">
      <c r="B545" s="79"/>
    </row>
    <row r="546" spans="2:2" ht="15.75" customHeight="1">
      <c r="B546" s="79"/>
    </row>
    <row r="547" spans="2:2" ht="15.75" customHeight="1">
      <c r="B547" s="79"/>
    </row>
    <row r="548" spans="2:2" ht="15.75" customHeight="1">
      <c r="B548" s="79"/>
    </row>
    <row r="549" spans="2:2" ht="15.75" customHeight="1">
      <c r="B549" s="79"/>
    </row>
    <row r="550" spans="2:2" ht="15.75" customHeight="1">
      <c r="B550" s="79"/>
    </row>
    <row r="551" spans="2:2" ht="15.75" customHeight="1">
      <c r="B551" s="79"/>
    </row>
    <row r="552" spans="2:2" ht="15.75" customHeight="1">
      <c r="B552" s="79"/>
    </row>
    <row r="553" spans="2:2" ht="15.75" customHeight="1">
      <c r="B553" s="79"/>
    </row>
    <row r="554" spans="2:2" ht="15.75" customHeight="1">
      <c r="B554" s="79"/>
    </row>
    <row r="555" spans="2:2" ht="15.75" customHeight="1">
      <c r="B555" s="79"/>
    </row>
    <row r="556" spans="2:2" ht="15.75" customHeight="1">
      <c r="B556" s="79"/>
    </row>
    <row r="557" spans="2:2" ht="15.75" customHeight="1">
      <c r="B557" s="79"/>
    </row>
    <row r="558" spans="2:2" ht="15.75" customHeight="1">
      <c r="B558" s="79"/>
    </row>
    <row r="559" spans="2:2" ht="15.75" customHeight="1">
      <c r="B559" s="79"/>
    </row>
    <row r="560" spans="2:2" ht="15.75" customHeight="1">
      <c r="B560" s="79"/>
    </row>
    <row r="561" spans="2:2" ht="15.75" customHeight="1">
      <c r="B561" s="79"/>
    </row>
    <row r="562" spans="2:2" ht="15.75" customHeight="1">
      <c r="B562" s="79"/>
    </row>
    <row r="563" spans="2:2" ht="15.75" customHeight="1">
      <c r="B563" s="79"/>
    </row>
    <row r="564" spans="2:2" ht="15.75" customHeight="1">
      <c r="B564" s="79"/>
    </row>
    <row r="565" spans="2:2" ht="15.75" customHeight="1">
      <c r="B565" s="79"/>
    </row>
    <row r="566" spans="2:2" ht="15.75" customHeight="1">
      <c r="B566" s="79"/>
    </row>
    <row r="567" spans="2:2" ht="15.75" customHeight="1">
      <c r="B567" s="79"/>
    </row>
    <row r="568" spans="2:2" ht="15.75" customHeight="1">
      <c r="B568" s="79"/>
    </row>
    <row r="569" spans="2:2" ht="15.75" customHeight="1">
      <c r="B569" s="79"/>
    </row>
    <row r="570" spans="2:2" ht="15.75" customHeight="1">
      <c r="B570" s="79"/>
    </row>
    <row r="571" spans="2:2" ht="15.75" customHeight="1">
      <c r="B571" s="79"/>
    </row>
    <row r="572" spans="2:2" ht="15.75" customHeight="1">
      <c r="B572" s="79"/>
    </row>
    <row r="573" spans="2:2" ht="15.75" customHeight="1">
      <c r="B573" s="79"/>
    </row>
    <row r="574" spans="2:2" ht="15.75" customHeight="1">
      <c r="B574" s="79"/>
    </row>
    <row r="575" spans="2:2" ht="15.75" customHeight="1">
      <c r="B575" s="79"/>
    </row>
    <row r="576" spans="2:2" ht="15.75" customHeight="1">
      <c r="B576" s="79"/>
    </row>
    <row r="577" spans="2:2" ht="15.75" customHeight="1">
      <c r="B577" s="79"/>
    </row>
    <row r="578" spans="2:2" ht="15.75" customHeight="1">
      <c r="B578" s="79"/>
    </row>
    <row r="579" spans="2:2" ht="15.75" customHeight="1">
      <c r="B579" s="79"/>
    </row>
    <row r="580" spans="2:2" ht="15.75" customHeight="1">
      <c r="B580" s="79"/>
    </row>
    <row r="581" spans="2:2" ht="15.75" customHeight="1">
      <c r="B581" s="79"/>
    </row>
    <row r="582" spans="2:2" ht="15.75" customHeight="1">
      <c r="B582" s="79"/>
    </row>
    <row r="583" spans="2:2" ht="15.75" customHeight="1">
      <c r="B583" s="79"/>
    </row>
    <row r="584" spans="2:2" ht="15.75" customHeight="1">
      <c r="B584" s="79"/>
    </row>
    <row r="585" spans="2:2" ht="15.75" customHeight="1">
      <c r="B585" s="79"/>
    </row>
    <row r="586" spans="2:2" ht="15.75" customHeight="1">
      <c r="B586" s="79"/>
    </row>
    <row r="587" spans="2:2" ht="15.75" customHeight="1">
      <c r="B587" s="79"/>
    </row>
    <row r="588" spans="2:2" ht="15.75" customHeight="1">
      <c r="B588" s="79"/>
    </row>
    <row r="589" spans="2:2" ht="15.75" customHeight="1">
      <c r="B589" s="79"/>
    </row>
    <row r="590" spans="2:2" ht="15.75" customHeight="1">
      <c r="B590" s="79"/>
    </row>
    <row r="591" spans="2:2" ht="15.75" customHeight="1">
      <c r="B591" s="79"/>
    </row>
    <row r="592" spans="2:2" ht="15.75" customHeight="1">
      <c r="B592" s="79"/>
    </row>
    <row r="593" spans="2:2" ht="15.75" customHeight="1">
      <c r="B593" s="79"/>
    </row>
    <row r="594" spans="2:2" ht="15.75" customHeight="1">
      <c r="B594" s="79"/>
    </row>
    <row r="595" spans="2:2" ht="15.75" customHeight="1">
      <c r="B595" s="79"/>
    </row>
    <row r="596" spans="2:2" ht="15.75" customHeight="1">
      <c r="B596" s="79"/>
    </row>
    <row r="597" spans="2:2" ht="15.75" customHeight="1">
      <c r="B597" s="79"/>
    </row>
    <row r="598" spans="2:2" ht="15.75" customHeight="1">
      <c r="B598" s="79"/>
    </row>
    <row r="599" spans="2:2" ht="15.75" customHeight="1">
      <c r="B599" s="79"/>
    </row>
    <row r="600" spans="2:2" ht="15.75" customHeight="1">
      <c r="B600" s="79"/>
    </row>
    <row r="601" spans="2:2" ht="15.75" customHeight="1">
      <c r="B601" s="79"/>
    </row>
    <row r="602" spans="2:2" ht="15.75" customHeight="1">
      <c r="B602" s="79"/>
    </row>
    <row r="603" spans="2:2" ht="15.75" customHeight="1">
      <c r="B603" s="79"/>
    </row>
    <row r="604" spans="2:2" ht="15.75" customHeight="1">
      <c r="B604" s="79"/>
    </row>
    <row r="605" spans="2:2" ht="15.75" customHeight="1">
      <c r="B605" s="79"/>
    </row>
    <row r="606" spans="2:2" ht="15.75" customHeight="1">
      <c r="B606" s="79"/>
    </row>
    <row r="607" spans="2:2" ht="15.75" customHeight="1">
      <c r="B607" s="79"/>
    </row>
    <row r="608" spans="2:2" ht="15.75" customHeight="1">
      <c r="B608" s="79"/>
    </row>
    <row r="609" spans="2:2" ht="15.75" customHeight="1">
      <c r="B609" s="79"/>
    </row>
    <row r="610" spans="2:2" ht="15.75" customHeight="1">
      <c r="B610" s="79"/>
    </row>
    <row r="611" spans="2:2" ht="15.75" customHeight="1">
      <c r="B611" s="79"/>
    </row>
    <row r="612" spans="2:2" ht="15.75" customHeight="1">
      <c r="B612" s="79"/>
    </row>
    <row r="613" spans="2:2" ht="15.75" customHeight="1">
      <c r="B613" s="79"/>
    </row>
    <row r="614" spans="2:2" ht="15.75" customHeight="1">
      <c r="B614" s="79"/>
    </row>
    <row r="615" spans="2:2" ht="15.75" customHeight="1">
      <c r="B615" s="79"/>
    </row>
    <row r="616" spans="2:2" ht="15.75" customHeight="1">
      <c r="B616" s="79"/>
    </row>
    <row r="617" spans="2:2" ht="15.75" customHeight="1">
      <c r="B617" s="79"/>
    </row>
    <row r="618" spans="2:2" ht="15.75" customHeight="1">
      <c r="B618" s="79"/>
    </row>
    <row r="619" spans="2:2" ht="15.75" customHeight="1">
      <c r="B619" s="79"/>
    </row>
    <row r="620" spans="2:2" ht="15.75" customHeight="1">
      <c r="B620" s="79"/>
    </row>
    <row r="621" spans="2:2" ht="15.75" customHeight="1">
      <c r="B621" s="79"/>
    </row>
    <row r="622" spans="2:2" ht="15.75" customHeight="1">
      <c r="B622" s="79"/>
    </row>
    <row r="623" spans="2:2" ht="15.75" customHeight="1">
      <c r="B623" s="79"/>
    </row>
    <row r="624" spans="2:2" ht="15.75" customHeight="1">
      <c r="B624" s="79"/>
    </row>
    <row r="625" spans="2:2" ht="15.75" customHeight="1">
      <c r="B625" s="79"/>
    </row>
    <row r="626" spans="2:2" ht="15.75" customHeight="1">
      <c r="B626" s="79"/>
    </row>
    <row r="627" spans="2:2" ht="15.75" customHeight="1">
      <c r="B627" s="79"/>
    </row>
    <row r="628" spans="2:2" ht="15.75" customHeight="1">
      <c r="B628" s="79"/>
    </row>
    <row r="629" spans="2:2" ht="15.75" customHeight="1">
      <c r="B629" s="79"/>
    </row>
    <row r="630" spans="2:2" ht="15.75" customHeight="1">
      <c r="B630" s="79"/>
    </row>
    <row r="631" spans="2:2" ht="15.75" customHeight="1">
      <c r="B631" s="79"/>
    </row>
    <row r="632" spans="2:2" ht="15.75" customHeight="1">
      <c r="B632" s="79"/>
    </row>
    <row r="633" spans="2:2" ht="15.75" customHeight="1">
      <c r="B633" s="79"/>
    </row>
    <row r="634" spans="2:2" ht="15.75" customHeight="1">
      <c r="B634" s="79"/>
    </row>
    <row r="635" spans="2:2" ht="15.75" customHeight="1">
      <c r="B635" s="79"/>
    </row>
    <row r="636" spans="2:2" ht="15.75" customHeight="1">
      <c r="B636" s="79"/>
    </row>
    <row r="637" spans="2:2" ht="15.75" customHeight="1">
      <c r="B637" s="79"/>
    </row>
    <row r="638" spans="2:2" ht="15.75" customHeight="1">
      <c r="B638" s="79"/>
    </row>
    <row r="639" spans="2:2" ht="15.75" customHeight="1">
      <c r="B639" s="79"/>
    </row>
    <row r="640" spans="2:2" ht="15.75" customHeight="1">
      <c r="B640" s="79"/>
    </row>
    <row r="641" spans="2:2" ht="15.75" customHeight="1">
      <c r="B641" s="79"/>
    </row>
    <row r="642" spans="2:2" ht="15.75" customHeight="1">
      <c r="B642" s="79"/>
    </row>
    <row r="643" spans="2:2" ht="15.75" customHeight="1">
      <c r="B643" s="79"/>
    </row>
    <row r="644" spans="2:2" ht="15.75" customHeight="1">
      <c r="B644" s="79"/>
    </row>
    <row r="645" spans="2:2" ht="15.75" customHeight="1">
      <c r="B645" s="79"/>
    </row>
    <row r="646" spans="2:2" ht="15.75" customHeight="1">
      <c r="B646" s="79"/>
    </row>
    <row r="647" spans="2:2" ht="15.75" customHeight="1">
      <c r="B647" s="79"/>
    </row>
    <row r="648" spans="2:2" ht="15.75" customHeight="1">
      <c r="B648" s="79"/>
    </row>
    <row r="649" spans="2:2" ht="15.75" customHeight="1">
      <c r="B649" s="79"/>
    </row>
    <row r="650" spans="2:2" ht="15.75" customHeight="1">
      <c r="B650" s="79"/>
    </row>
    <row r="651" spans="2:2" ht="15.75" customHeight="1">
      <c r="B651" s="79"/>
    </row>
    <row r="652" spans="2:2" ht="15.75" customHeight="1">
      <c r="B652" s="79"/>
    </row>
    <row r="653" spans="2:2" ht="15.75" customHeight="1">
      <c r="B653" s="79"/>
    </row>
    <row r="654" spans="2:2" ht="15.75" customHeight="1">
      <c r="B654" s="79"/>
    </row>
    <row r="655" spans="2:2" ht="15.75" customHeight="1">
      <c r="B655" s="79"/>
    </row>
    <row r="656" spans="2:2" ht="15.75" customHeight="1">
      <c r="B656" s="79"/>
    </row>
    <row r="657" spans="2:2" ht="15.75" customHeight="1">
      <c r="B657" s="79"/>
    </row>
    <row r="658" spans="2:2" ht="15.75" customHeight="1">
      <c r="B658" s="79"/>
    </row>
    <row r="659" spans="2:2" ht="15.75" customHeight="1">
      <c r="B659" s="79"/>
    </row>
    <row r="660" spans="2:2" ht="15.75" customHeight="1">
      <c r="B660" s="79"/>
    </row>
    <row r="661" spans="2:2" ht="15.75" customHeight="1">
      <c r="B661" s="79"/>
    </row>
    <row r="662" spans="2:2" ht="15.75" customHeight="1">
      <c r="B662" s="79"/>
    </row>
    <row r="663" spans="2:2" ht="15.75" customHeight="1">
      <c r="B663" s="79"/>
    </row>
    <row r="664" spans="2:2" ht="15.75" customHeight="1">
      <c r="B664" s="79"/>
    </row>
    <row r="665" spans="2:2" ht="15.75" customHeight="1">
      <c r="B665" s="79"/>
    </row>
    <row r="666" spans="2:2" ht="15.75" customHeight="1">
      <c r="B666" s="79"/>
    </row>
    <row r="667" spans="2:2" ht="15.75" customHeight="1">
      <c r="B667" s="79"/>
    </row>
    <row r="668" spans="2:2" ht="15.75" customHeight="1">
      <c r="B668" s="79"/>
    </row>
    <row r="669" spans="2:2" ht="15.75" customHeight="1">
      <c r="B669" s="79"/>
    </row>
    <row r="670" spans="2:2" ht="15.75" customHeight="1">
      <c r="B670" s="79"/>
    </row>
    <row r="671" spans="2:2" ht="15.75" customHeight="1">
      <c r="B671" s="79"/>
    </row>
    <row r="672" spans="2:2" ht="15.75" customHeight="1">
      <c r="B672" s="79"/>
    </row>
    <row r="673" spans="2:2" ht="15.75" customHeight="1">
      <c r="B673" s="79"/>
    </row>
    <row r="674" spans="2:2" ht="15.75" customHeight="1">
      <c r="B674" s="79"/>
    </row>
    <row r="675" spans="2:2" ht="15.75" customHeight="1">
      <c r="B675" s="79"/>
    </row>
    <row r="676" spans="2:2" ht="15.75" customHeight="1">
      <c r="B676" s="79"/>
    </row>
    <row r="677" spans="2:2" ht="15.75" customHeight="1">
      <c r="B677" s="79"/>
    </row>
    <row r="678" spans="2:2" ht="15.75" customHeight="1">
      <c r="B678" s="79"/>
    </row>
    <row r="679" spans="2:2" ht="15.75" customHeight="1">
      <c r="B679" s="79"/>
    </row>
    <row r="680" spans="2:2" ht="15.75" customHeight="1">
      <c r="B680" s="79"/>
    </row>
    <row r="681" spans="2:2" ht="15.75" customHeight="1">
      <c r="B681" s="79"/>
    </row>
    <row r="682" spans="2:2" ht="15.75" customHeight="1">
      <c r="B682" s="79"/>
    </row>
    <row r="683" spans="2:2" ht="15.75" customHeight="1">
      <c r="B683" s="79"/>
    </row>
    <row r="684" spans="2:2" ht="15.75" customHeight="1">
      <c r="B684" s="79"/>
    </row>
    <row r="685" spans="2:2" ht="15.75" customHeight="1">
      <c r="B685" s="79"/>
    </row>
    <row r="686" spans="2:2" ht="15.75" customHeight="1">
      <c r="B686" s="79"/>
    </row>
    <row r="687" spans="2:2" ht="15.75" customHeight="1">
      <c r="B687" s="79"/>
    </row>
    <row r="688" spans="2:2" ht="15.75" customHeight="1">
      <c r="B688" s="79"/>
    </row>
    <row r="689" spans="2:2" ht="15.75" customHeight="1">
      <c r="B689" s="79"/>
    </row>
    <row r="690" spans="2:2" ht="15.75" customHeight="1">
      <c r="B690" s="79"/>
    </row>
    <row r="691" spans="2:2" ht="15.75" customHeight="1">
      <c r="B691" s="79"/>
    </row>
    <row r="692" spans="2:2" ht="15.75" customHeight="1">
      <c r="B692" s="79"/>
    </row>
    <row r="693" spans="2:2" ht="15.75" customHeight="1">
      <c r="B693" s="79"/>
    </row>
    <row r="694" spans="2:2" ht="15.75" customHeight="1">
      <c r="B694" s="79"/>
    </row>
    <row r="695" spans="2:2" ht="15.75" customHeight="1">
      <c r="B695" s="79"/>
    </row>
    <row r="696" spans="2:2" ht="15.75" customHeight="1">
      <c r="B696" s="79"/>
    </row>
    <row r="697" spans="2:2" ht="15.75" customHeight="1">
      <c r="B697" s="79"/>
    </row>
    <row r="698" spans="2:2" ht="15.75" customHeight="1">
      <c r="B698" s="79"/>
    </row>
    <row r="699" spans="2:2" ht="15.75" customHeight="1">
      <c r="B699" s="79"/>
    </row>
    <row r="700" spans="2:2" ht="15.75" customHeight="1">
      <c r="B700" s="79"/>
    </row>
    <row r="701" spans="2:2" ht="15.75" customHeight="1">
      <c r="B701" s="79"/>
    </row>
    <row r="702" spans="2:2" ht="15.75" customHeight="1">
      <c r="B702" s="79"/>
    </row>
    <row r="703" spans="2:2" ht="15.75" customHeight="1">
      <c r="B703" s="79"/>
    </row>
    <row r="704" spans="2:2" ht="15.75" customHeight="1">
      <c r="B704" s="79"/>
    </row>
    <row r="705" spans="2:2" ht="15.75" customHeight="1">
      <c r="B705" s="79"/>
    </row>
    <row r="706" spans="2:2" ht="15.75" customHeight="1">
      <c r="B706" s="79"/>
    </row>
    <row r="707" spans="2:2" ht="15.75" customHeight="1">
      <c r="B707" s="79"/>
    </row>
    <row r="708" spans="2:2" ht="15.75" customHeight="1">
      <c r="B708" s="79"/>
    </row>
    <row r="709" spans="2:2" ht="15.75" customHeight="1">
      <c r="B709" s="79"/>
    </row>
    <row r="710" spans="2:2" ht="15.75" customHeight="1">
      <c r="B710" s="79"/>
    </row>
    <row r="711" spans="2:2" ht="15.75" customHeight="1">
      <c r="B711" s="79"/>
    </row>
    <row r="712" spans="2:2" ht="15.75" customHeight="1">
      <c r="B712" s="79"/>
    </row>
    <row r="713" spans="2:2" ht="15.75" customHeight="1">
      <c r="B713" s="79"/>
    </row>
    <row r="714" spans="2:2" ht="15.75" customHeight="1">
      <c r="B714" s="79"/>
    </row>
    <row r="715" spans="2:2" ht="15.75" customHeight="1">
      <c r="B715" s="79"/>
    </row>
    <row r="716" spans="2:2" ht="15.75" customHeight="1">
      <c r="B716" s="79"/>
    </row>
    <row r="717" spans="2:2" ht="15.75" customHeight="1">
      <c r="B717" s="79"/>
    </row>
    <row r="718" spans="2:2" ht="15.75" customHeight="1">
      <c r="B718" s="79"/>
    </row>
    <row r="719" spans="2:2" ht="15.75" customHeight="1">
      <c r="B719" s="79"/>
    </row>
    <row r="720" spans="2:2" ht="15.75" customHeight="1">
      <c r="B720" s="79"/>
    </row>
    <row r="721" spans="2:2" ht="15.75" customHeight="1">
      <c r="B721" s="79"/>
    </row>
    <row r="722" spans="2:2" ht="15.75" customHeight="1">
      <c r="B722" s="79"/>
    </row>
    <row r="723" spans="2:2" ht="15.75" customHeight="1">
      <c r="B723" s="79"/>
    </row>
    <row r="724" spans="2:2" ht="15.75" customHeight="1">
      <c r="B724" s="79"/>
    </row>
    <row r="725" spans="2:2" ht="15.75" customHeight="1">
      <c r="B725" s="79"/>
    </row>
    <row r="726" spans="2:2" ht="15.75" customHeight="1">
      <c r="B726" s="79"/>
    </row>
    <row r="727" spans="2:2" ht="15.75" customHeight="1">
      <c r="B727" s="79"/>
    </row>
    <row r="728" spans="2:2" ht="15.75" customHeight="1">
      <c r="B728" s="79"/>
    </row>
    <row r="729" spans="2:2" ht="15.75" customHeight="1">
      <c r="B729" s="79"/>
    </row>
    <row r="730" spans="2:2" ht="15.75" customHeight="1">
      <c r="B730" s="79"/>
    </row>
    <row r="731" spans="2:2" ht="15.75" customHeight="1">
      <c r="B731" s="79"/>
    </row>
    <row r="732" spans="2:2" ht="15.75" customHeight="1">
      <c r="B732" s="79"/>
    </row>
    <row r="733" spans="2:2" ht="15.75" customHeight="1">
      <c r="B733" s="79"/>
    </row>
    <row r="734" spans="2:2" ht="15.75" customHeight="1">
      <c r="B734" s="79"/>
    </row>
    <row r="735" spans="2:2" ht="15.75" customHeight="1">
      <c r="B735" s="79"/>
    </row>
    <row r="736" spans="2:2" ht="15.75" customHeight="1">
      <c r="B736" s="79"/>
    </row>
    <row r="737" spans="2:2" ht="15.75" customHeight="1">
      <c r="B737" s="79"/>
    </row>
    <row r="738" spans="2:2" ht="15.75" customHeight="1">
      <c r="B738" s="79"/>
    </row>
    <row r="739" spans="2:2" ht="15.75" customHeight="1">
      <c r="B739" s="79"/>
    </row>
    <row r="740" spans="2:2" ht="15.75" customHeight="1">
      <c r="B740" s="79"/>
    </row>
    <row r="741" spans="2:2" ht="15.75" customHeight="1">
      <c r="B741" s="79"/>
    </row>
    <row r="742" spans="2:2" ht="15.75" customHeight="1">
      <c r="B742" s="79"/>
    </row>
    <row r="743" spans="2:2" ht="15.75" customHeight="1">
      <c r="B743" s="79"/>
    </row>
    <row r="744" spans="2:2" ht="15.75" customHeight="1">
      <c r="B744" s="79"/>
    </row>
    <row r="745" spans="2:2" ht="15.75" customHeight="1">
      <c r="B745" s="79"/>
    </row>
    <row r="746" spans="2:2" ht="15.75" customHeight="1">
      <c r="B746" s="79"/>
    </row>
    <row r="747" spans="2:2" ht="15.75" customHeight="1">
      <c r="B747" s="79"/>
    </row>
    <row r="748" spans="2:2" ht="15.75" customHeight="1">
      <c r="B748" s="79"/>
    </row>
    <row r="749" spans="2:2" ht="15.75" customHeight="1">
      <c r="B749" s="79"/>
    </row>
    <row r="750" spans="2:2" ht="15.75" customHeight="1">
      <c r="B750" s="79"/>
    </row>
    <row r="751" spans="2:2" ht="15.75" customHeight="1">
      <c r="B751" s="79"/>
    </row>
    <row r="752" spans="2:2" ht="15.75" customHeight="1">
      <c r="B752" s="79"/>
    </row>
    <row r="753" spans="2:2" ht="15.75" customHeight="1">
      <c r="B753" s="79"/>
    </row>
    <row r="754" spans="2:2" ht="15.75" customHeight="1">
      <c r="B754" s="79"/>
    </row>
    <row r="755" spans="2:2" ht="15.75" customHeight="1">
      <c r="B755" s="79"/>
    </row>
    <row r="756" spans="2:2" ht="15.75" customHeight="1">
      <c r="B756" s="79"/>
    </row>
    <row r="757" spans="2:2" ht="15.75" customHeight="1">
      <c r="B757" s="79"/>
    </row>
    <row r="758" spans="2:2" ht="15.75" customHeight="1">
      <c r="B758" s="79"/>
    </row>
    <row r="759" spans="2:2" ht="15.75" customHeight="1">
      <c r="B759" s="79"/>
    </row>
    <row r="760" spans="2:2" ht="15.75" customHeight="1">
      <c r="B760" s="79"/>
    </row>
    <row r="761" spans="2:2" ht="15.75" customHeight="1">
      <c r="B761" s="79"/>
    </row>
    <row r="762" spans="2:2" ht="15.75" customHeight="1">
      <c r="B762" s="79"/>
    </row>
    <row r="763" spans="2:2" ht="15.75" customHeight="1">
      <c r="B763" s="79"/>
    </row>
    <row r="764" spans="2:2" ht="15.75" customHeight="1">
      <c r="B764" s="79"/>
    </row>
    <row r="765" spans="2:2" ht="15.75" customHeight="1">
      <c r="B765" s="79"/>
    </row>
    <row r="766" spans="2:2" ht="15.75" customHeight="1">
      <c r="B766" s="79"/>
    </row>
    <row r="767" spans="2:2" ht="15.75" customHeight="1">
      <c r="B767" s="79"/>
    </row>
    <row r="768" spans="2:2" ht="15.75" customHeight="1">
      <c r="B768" s="79"/>
    </row>
    <row r="769" spans="2:2" ht="15.75" customHeight="1">
      <c r="B769" s="79"/>
    </row>
    <row r="770" spans="2:2" ht="15.75" customHeight="1">
      <c r="B770" s="79"/>
    </row>
    <row r="771" spans="2:2" ht="15.75" customHeight="1">
      <c r="B771" s="79"/>
    </row>
    <row r="772" spans="2:2" ht="15.75" customHeight="1">
      <c r="B772" s="79"/>
    </row>
    <row r="773" spans="2:2" ht="15.75" customHeight="1">
      <c r="B773" s="79"/>
    </row>
    <row r="774" spans="2:2" ht="15.75" customHeight="1">
      <c r="B774" s="79"/>
    </row>
    <row r="775" spans="2:2" ht="15.75" customHeight="1">
      <c r="B775" s="79"/>
    </row>
    <row r="776" spans="2:2" ht="15.75" customHeight="1">
      <c r="B776" s="79"/>
    </row>
    <row r="777" spans="2:2" ht="15.75" customHeight="1">
      <c r="B777" s="79"/>
    </row>
    <row r="778" spans="2:2" ht="15.75" customHeight="1">
      <c r="B778" s="79"/>
    </row>
    <row r="779" spans="2:2" ht="15.75" customHeight="1">
      <c r="B779" s="79"/>
    </row>
    <row r="780" spans="2:2" ht="15.75" customHeight="1">
      <c r="B780" s="79"/>
    </row>
    <row r="781" spans="2:2" ht="15.75" customHeight="1">
      <c r="B781" s="79"/>
    </row>
    <row r="782" spans="2:2" ht="15.75" customHeight="1">
      <c r="B782" s="79"/>
    </row>
    <row r="783" spans="2:2" ht="15.75" customHeight="1">
      <c r="B783" s="79"/>
    </row>
    <row r="784" spans="2:2" ht="15.75" customHeight="1">
      <c r="B784" s="79"/>
    </row>
    <row r="785" spans="2:2" ht="15.75" customHeight="1">
      <c r="B785" s="79"/>
    </row>
    <row r="786" spans="2:2" ht="15.75" customHeight="1">
      <c r="B786" s="79"/>
    </row>
    <row r="787" spans="2:2" ht="15.75" customHeight="1">
      <c r="B787" s="79"/>
    </row>
    <row r="788" spans="2:2" ht="15.75" customHeight="1">
      <c r="B788" s="79"/>
    </row>
    <row r="789" spans="2:2" ht="15.75" customHeight="1">
      <c r="B789" s="79"/>
    </row>
    <row r="790" spans="2:2" ht="15.75" customHeight="1">
      <c r="B790" s="79"/>
    </row>
    <row r="791" spans="2:2" ht="15.75" customHeight="1">
      <c r="B791" s="79"/>
    </row>
    <row r="792" spans="2:2" ht="15.75" customHeight="1">
      <c r="B792" s="79"/>
    </row>
    <row r="793" spans="2:2" ht="15.75" customHeight="1">
      <c r="B793" s="79"/>
    </row>
    <row r="794" spans="2:2" ht="15.75" customHeight="1">
      <c r="B794" s="79"/>
    </row>
    <row r="795" spans="2:2" ht="15.75" customHeight="1">
      <c r="B795" s="79"/>
    </row>
    <row r="796" spans="2:2" ht="15.75" customHeight="1">
      <c r="B796" s="79"/>
    </row>
    <row r="797" spans="2:2" ht="15.75" customHeight="1">
      <c r="B797" s="79"/>
    </row>
    <row r="798" spans="2:2" ht="15.75" customHeight="1">
      <c r="B798" s="79"/>
    </row>
    <row r="799" spans="2:2" ht="15.75" customHeight="1">
      <c r="B799" s="79"/>
    </row>
    <row r="800" spans="2:2" ht="15.75" customHeight="1">
      <c r="B800" s="79"/>
    </row>
    <row r="801" spans="2:2" ht="15.75" customHeight="1">
      <c r="B801" s="79"/>
    </row>
    <row r="802" spans="2:2" ht="15.75" customHeight="1">
      <c r="B802" s="79"/>
    </row>
    <row r="803" spans="2:2" ht="15.75" customHeight="1">
      <c r="B803" s="79"/>
    </row>
    <row r="804" spans="2:2" ht="15.75" customHeight="1">
      <c r="B804" s="79"/>
    </row>
    <row r="805" spans="2:2" ht="15.75" customHeight="1">
      <c r="B805" s="79"/>
    </row>
    <row r="806" spans="2:2" ht="15.75" customHeight="1">
      <c r="B806" s="79"/>
    </row>
    <row r="807" spans="2:2" ht="15.75" customHeight="1">
      <c r="B807" s="79"/>
    </row>
    <row r="808" spans="2:2" ht="15.75" customHeight="1">
      <c r="B808" s="79"/>
    </row>
    <row r="809" spans="2:2" ht="15.75" customHeight="1">
      <c r="B809" s="79"/>
    </row>
    <row r="810" spans="2:2" ht="15.75" customHeight="1">
      <c r="B810" s="79"/>
    </row>
    <row r="811" spans="2:2" ht="15.75" customHeight="1">
      <c r="B811" s="79"/>
    </row>
    <row r="812" spans="2:2" ht="15.75" customHeight="1">
      <c r="B812" s="79"/>
    </row>
    <row r="813" spans="2:2" ht="15.75" customHeight="1">
      <c r="B813" s="79"/>
    </row>
    <row r="814" spans="2:2" ht="15.75" customHeight="1">
      <c r="B814" s="79"/>
    </row>
    <row r="815" spans="2:2" ht="15.75" customHeight="1">
      <c r="B815" s="79"/>
    </row>
    <row r="816" spans="2:2" ht="15.75" customHeight="1">
      <c r="B816" s="79"/>
    </row>
    <row r="817" spans="2:2" ht="15.75" customHeight="1">
      <c r="B817" s="79"/>
    </row>
    <row r="818" spans="2:2" ht="15.75" customHeight="1">
      <c r="B818" s="79"/>
    </row>
    <row r="819" spans="2:2" ht="15.75" customHeight="1">
      <c r="B819" s="79"/>
    </row>
    <row r="820" spans="2:2" ht="15.75" customHeight="1">
      <c r="B820" s="79"/>
    </row>
    <row r="821" spans="2:2" ht="15.75" customHeight="1">
      <c r="B821" s="79"/>
    </row>
    <row r="822" spans="2:2" ht="15.75" customHeight="1">
      <c r="B822" s="79"/>
    </row>
    <row r="823" spans="2:2" ht="15.75" customHeight="1">
      <c r="B823" s="79"/>
    </row>
    <row r="824" spans="2:2" ht="15.75" customHeight="1">
      <c r="B824" s="79"/>
    </row>
    <row r="825" spans="2:2" ht="15.75" customHeight="1">
      <c r="B825" s="79"/>
    </row>
    <row r="826" spans="2:2" ht="15.75" customHeight="1">
      <c r="B826" s="79"/>
    </row>
    <row r="827" spans="2:2" ht="15.75" customHeight="1">
      <c r="B827" s="79"/>
    </row>
    <row r="828" spans="2:2" ht="15.75" customHeight="1">
      <c r="B828" s="79"/>
    </row>
    <row r="829" spans="2:2" ht="15.75" customHeight="1">
      <c r="B829" s="79"/>
    </row>
    <row r="830" spans="2:2" ht="15.75" customHeight="1">
      <c r="B830" s="79"/>
    </row>
    <row r="831" spans="2:2" ht="15.75" customHeight="1">
      <c r="B831" s="79"/>
    </row>
    <row r="832" spans="2:2" ht="15.75" customHeight="1">
      <c r="B832" s="79"/>
    </row>
    <row r="833" spans="2:2" ht="15.75" customHeight="1">
      <c r="B833" s="79"/>
    </row>
    <row r="834" spans="2:2" ht="15.75" customHeight="1">
      <c r="B834" s="79"/>
    </row>
    <row r="835" spans="2:2" ht="15.75" customHeight="1">
      <c r="B835" s="79"/>
    </row>
    <row r="836" spans="2:2" ht="15.75" customHeight="1">
      <c r="B836" s="79"/>
    </row>
    <row r="837" spans="2:2" ht="15.75" customHeight="1">
      <c r="B837" s="79"/>
    </row>
    <row r="838" spans="2:2" ht="15.75" customHeight="1">
      <c r="B838" s="79"/>
    </row>
    <row r="839" spans="2:2" ht="15.75" customHeight="1">
      <c r="B839" s="79"/>
    </row>
    <row r="840" spans="2:2" ht="15.75" customHeight="1">
      <c r="B840" s="79"/>
    </row>
    <row r="841" spans="2:2" ht="15.75" customHeight="1">
      <c r="B841" s="79"/>
    </row>
    <row r="842" spans="2:2" ht="15.75" customHeight="1">
      <c r="B842" s="79"/>
    </row>
    <row r="843" spans="2:2" ht="15.75" customHeight="1">
      <c r="B843" s="79"/>
    </row>
    <row r="844" spans="2:2" ht="15.75" customHeight="1">
      <c r="B844" s="79"/>
    </row>
    <row r="845" spans="2:2" ht="15.75" customHeight="1">
      <c r="B845" s="79"/>
    </row>
    <row r="846" spans="2:2" ht="15.75" customHeight="1">
      <c r="B846" s="79"/>
    </row>
    <row r="847" spans="2:2" ht="15.75" customHeight="1">
      <c r="B847" s="79"/>
    </row>
    <row r="848" spans="2:2" ht="15.75" customHeight="1">
      <c r="B848" s="79"/>
    </row>
    <row r="849" spans="2:2" ht="15.75" customHeight="1">
      <c r="B849" s="79"/>
    </row>
    <row r="850" spans="2:2" ht="15.75" customHeight="1">
      <c r="B850" s="79"/>
    </row>
    <row r="851" spans="2:2" ht="15.75" customHeight="1">
      <c r="B851" s="79"/>
    </row>
    <row r="852" spans="2:2" ht="15.75" customHeight="1">
      <c r="B852" s="79"/>
    </row>
    <row r="853" spans="2:2" ht="15.75" customHeight="1">
      <c r="B853" s="79"/>
    </row>
    <row r="854" spans="2:2" ht="15.75" customHeight="1">
      <c r="B854" s="79"/>
    </row>
    <row r="855" spans="2:2" ht="15.75" customHeight="1">
      <c r="B855" s="79"/>
    </row>
    <row r="856" spans="2:2" ht="15.75" customHeight="1">
      <c r="B856" s="79"/>
    </row>
    <row r="857" spans="2:2" ht="15.75" customHeight="1">
      <c r="B857" s="79"/>
    </row>
    <row r="858" spans="2:2" ht="15.75" customHeight="1">
      <c r="B858" s="79"/>
    </row>
    <row r="859" spans="2:2" ht="15.75" customHeight="1">
      <c r="B859" s="79"/>
    </row>
    <row r="860" spans="2:2" ht="15.75" customHeight="1">
      <c r="B860" s="79"/>
    </row>
    <row r="861" spans="2:2" ht="15.75" customHeight="1">
      <c r="B861" s="79"/>
    </row>
    <row r="862" spans="2:2" ht="15.75" customHeight="1">
      <c r="B862" s="79"/>
    </row>
    <row r="863" spans="2:2" ht="15.75" customHeight="1">
      <c r="B863" s="79"/>
    </row>
    <row r="864" spans="2:2" ht="15.75" customHeight="1">
      <c r="B864" s="79"/>
    </row>
    <row r="865" spans="2:2" ht="15.75" customHeight="1">
      <c r="B865" s="79"/>
    </row>
    <row r="866" spans="2:2" ht="15.75" customHeight="1">
      <c r="B866" s="79"/>
    </row>
    <row r="867" spans="2:2" ht="15.75" customHeight="1">
      <c r="B867" s="79"/>
    </row>
    <row r="868" spans="2:2" ht="15.75" customHeight="1">
      <c r="B868" s="79"/>
    </row>
    <row r="869" spans="2:2" ht="15.75" customHeight="1">
      <c r="B869" s="79"/>
    </row>
    <row r="870" spans="2:2" ht="15.75" customHeight="1">
      <c r="B870" s="79"/>
    </row>
    <row r="871" spans="2:2" ht="15.75" customHeight="1">
      <c r="B871" s="79"/>
    </row>
    <row r="872" spans="2:2" ht="15.75" customHeight="1">
      <c r="B872" s="79"/>
    </row>
    <row r="873" spans="2:2" ht="15.75" customHeight="1">
      <c r="B873" s="79"/>
    </row>
    <row r="874" spans="2:2" ht="15.75" customHeight="1">
      <c r="B874" s="79"/>
    </row>
    <row r="875" spans="2:2" ht="15.75" customHeight="1">
      <c r="B875" s="79"/>
    </row>
    <row r="876" spans="2:2" ht="15.75" customHeight="1">
      <c r="B876" s="79"/>
    </row>
    <row r="877" spans="2:2" ht="15.75" customHeight="1">
      <c r="B877" s="79"/>
    </row>
    <row r="878" spans="2:2" ht="15.75" customHeight="1">
      <c r="B878" s="79"/>
    </row>
    <row r="879" spans="2:2" ht="15.75" customHeight="1">
      <c r="B879" s="79"/>
    </row>
    <row r="880" spans="2:2" ht="15.75" customHeight="1">
      <c r="B880" s="79"/>
    </row>
    <row r="881" spans="2:2" ht="15.75" customHeight="1">
      <c r="B881" s="79"/>
    </row>
    <row r="882" spans="2:2" ht="15.75" customHeight="1">
      <c r="B882" s="79"/>
    </row>
    <row r="883" spans="2:2" ht="15.75" customHeight="1">
      <c r="B883" s="79"/>
    </row>
    <row r="884" spans="2:2" ht="15.75" customHeight="1">
      <c r="B884" s="79"/>
    </row>
    <row r="885" spans="2:2" ht="15.75" customHeight="1">
      <c r="B885" s="79"/>
    </row>
    <row r="886" spans="2:2" ht="15.75" customHeight="1">
      <c r="B886" s="79"/>
    </row>
    <row r="887" spans="2:2" ht="15.75" customHeight="1">
      <c r="B887" s="79"/>
    </row>
    <row r="888" spans="2:2" ht="15.75" customHeight="1">
      <c r="B888" s="79"/>
    </row>
    <row r="889" spans="2:2" ht="15.75" customHeight="1">
      <c r="B889" s="79"/>
    </row>
    <row r="890" spans="2:2" ht="15.75" customHeight="1">
      <c r="B890" s="79"/>
    </row>
    <row r="891" spans="2:2" ht="15.75" customHeight="1">
      <c r="B891" s="79"/>
    </row>
    <row r="892" spans="2:2" ht="15.75" customHeight="1">
      <c r="B892" s="79"/>
    </row>
    <row r="893" spans="2:2" ht="15.75" customHeight="1">
      <c r="B893" s="79"/>
    </row>
    <row r="894" spans="2:2" ht="15.75" customHeight="1">
      <c r="B894" s="79"/>
    </row>
    <row r="895" spans="2:2" ht="15.75" customHeight="1">
      <c r="B895" s="79"/>
    </row>
    <row r="896" spans="2:2" ht="15.75" customHeight="1">
      <c r="B896" s="79"/>
    </row>
    <row r="897" spans="2:2" ht="15.75" customHeight="1">
      <c r="B897" s="79"/>
    </row>
    <row r="898" spans="2:2" ht="15.75" customHeight="1">
      <c r="B898" s="79"/>
    </row>
    <row r="899" spans="2:2" ht="15.75" customHeight="1">
      <c r="B899" s="79"/>
    </row>
    <row r="900" spans="2:2" ht="15.75" customHeight="1">
      <c r="B900" s="79"/>
    </row>
    <row r="901" spans="2:2" ht="15.75" customHeight="1">
      <c r="B901" s="79"/>
    </row>
    <row r="902" spans="2:2" ht="15.75" customHeight="1">
      <c r="B902" s="79"/>
    </row>
    <row r="903" spans="2:2" ht="15.75" customHeight="1">
      <c r="B903" s="79"/>
    </row>
    <row r="904" spans="2:2" ht="15.75" customHeight="1">
      <c r="B904" s="79"/>
    </row>
    <row r="905" spans="2:2" ht="15.75" customHeight="1">
      <c r="B905" s="79"/>
    </row>
    <row r="906" spans="2:2" ht="15.75" customHeight="1">
      <c r="B906" s="79"/>
    </row>
    <row r="907" spans="2:2" ht="15.75" customHeight="1">
      <c r="B907" s="79"/>
    </row>
    <row r="908" spans="2:2" ht="15.75" customHeight="1">
      <c r="B908" s="79"/>
    </row>
    <row r="909" spans="2:2" ht="15.75" customHeight="1">
      <c r="B909" s="79"/>
    </row>
    <row r="910" spans="2:2" ht="15.75" customHeight="1">
      <c r="B910" s="79"/>
    </row>
    <row r="911" spans="2:2" ht="15.75" customHeight="1">
      <c r="B911" s="79"/>
    </row>
    <row r="912" spans="2:2" ht="15.75" customHeight="1">
      <c r="B912" s="79"/>
    </row>
    <row r="913" spans="2:2" ht="15.75" customHeight="1">
      <c r="B913" s="79"/>
    </row>
    <row r="914" spans="2:2" ht="15.75" customHeight="1">
      <c r="B914" s="79"/>
    </row>
    <row r="915" spans="2:2" ht="15.75" customHeight="1">
      <c r="B915" s="79"/>
    </row>
    <row r="916" spans="2:2" ht="15.75" customHeight="1">
      <c r="B916" s="79"/>
    </row>
    <row r="917" spans="2:2" ht="15.75" customHeight="1">
      <c r="B917" s="79"/>
    </row>
    <row r="918" spans="2:2" ht="15.75" customHeight="1">
      <c r="B918" s="79"/>
    </row>
    <row r="919" spans="2:2" ht="15.75" customHeight="1">
      <c r="B919" s="79"/>
    </row>
    <row r="920" spans="2:2" ht="15.75" customHeight="1">
      <c r="B920" s="79"/>
    </row>
    <row r="921" spans="2:2" ht="15.75" customHeight="1">
      <c r="B921" s="79"/>
    </row>
    <row r="922" spans="2:2" ht="15.75" customHeight="1">
      <c r="B922" s="79"/>
    </row>
    <row r="923" spans="2:2" ht="15.75" customHeight="1">
      <c r="B923" s="79"/>
    </row>
    <row r="924" spans="2:2" ht="15.75" customHeight="1">
      <c r="B924" s="79"/>
    </row>
    <row r="925" spans="2:2" ht="15.75" customHeight="1">
      <c r="B925" s="79"/>
    </row>
    <row r="926" spans="2:2" ht="15.75" customHeight="1">
      <c r="B926" s="79"/>
    </row>
    <row r="927" spans="2:2" ht="15.75" customHeight="1">
      <c r="B927" s="79"/>
    </row>
    <row r="928" spans="2:2" ht="15.75" customHeight="1">
      <c r="B928" s="79"/>
    </row>
    <row r="929" spans="2:2" ht="15.75" customHeight="1">
      <c r="B929" s="79"/>
    </row>
    <row r="930" spans="2:2" ht="15.75" customHeight="1">
      <c r="B930" s="79"/>
    </row>
    <row r="931" spans="2:2" ht="15.75" customHeight="1">
      <c r="B931" s="79"/>
    </row>
    <row r="932" spans="2:2" ht="15.75" customHeight="1">
      <c r="B932" s="79"/>
    </row>
    <row r="933" spans="2:2" ht="15.75" customHeight="1">
      <c r="B933" s="79"/>
    </row>
    <row r="934" spans="2:2" ht="15.75" customHeight="1">
      <c r="B934" s="79"/>
    </row>
    <row r="935" spans="2:2" ht="15.75" customHeight="1">
      <c r="B935" s="79"/>
    </row>
    <row r="936" spans="2:2" ht="15.75" customHeight="1">
      <c r="B936" s="79"/>
    </row>
    <row r="937" spans="2:2" ht="15.75" customHeight="1">
      <c r="B937" s="79"/>
    </row>
    <row r="938" spans="2:2" ht="15.75" customHeight="1">
      <c r="B938" s="79"/>
    </row>
    <row r="939" spans="2:2" ht="15.75" customHeight="1">
      <c r="B939" s="79"/>
    </row>
    <row r="940" spans="2:2" ht="15.75" customHeight="1">
      <c r="B940" s="79"/>
    </row>
    <row r="941" spans="2:2" ht="15.75" customHeight="1">
      <c r="B941" s="79"/>
    </row>
    <row r="942" spans="2:2" ht="15.75" customHeight="1">
      <c r="B942" s="79"/>
    </row>
    <row r="943" spans="2:2" ht="15.75" customHeight="1">
      <c r="B943" s="79"/>
    </row>
    <row r="944" spans="2:2" ht="15.75" customHeight="1">
      <c r="B944" s="79"/>
    </row>
    <row r="945" spans="2:2" ht="15.75" customHeight="1">
      <c r="B945" s="79"/>
    </row>
    <row r="946" spans="2:2" ht="15.75" customHeight="1">
      <c r="B946" s="79"/>
    </row>
    <row r="947" spans="2:2" ht="15.75" customHeight="1">
      <c r="B947" s="79"/>
    </row>
    <row r="948" spans="2:2" ht="15.75" customHeight="1">
      <c r="B948" s="79"/>
    </row>
    <row r="949" spans="2:2" ht="15.75" customHeight="1">
      <c r="B949" s="79"/>
    </row>
    <row r="950" spans="2:2" ht="15.75" customHeight="1">
      <c r="B950" s="79"/>
    </row>
    <row r="951" spans="2:2" ht="15.75" customHeight="1">
      <c r="B951" s="79"/>
    </row>
    <row r="952" spans="2:2" ht="15.75" customHeight="1">
      <c r="B952" s="79"/>
    </row>
    <row r="953" spans="2:2" ht="15.75" customHeight="1">
      <c r="B953" s="79"/>
    </row>
    <row r="954" spans="2:2" ht="15.75" customHeight="1">
      <c r="B954" s="79"/>
    </row>
    <row r="955" spans="2:2" ht="15.75" customHeight="1">
      <c r="B955" s="79"/>
    </row>
    <row r="956" spans="2:2" ht="15.75" customHeight="1">
      <c r="B956" s="79"/>
    </row>
    <row r="957" spans="2:2" ht="15.75" customHeight="1">
      <c r="B957" s="79"/>
    </row>
    <row r="958" spans="2:2" ht="15.75" customHeight="1">
      <c r="B958" s="79"/>
    </row>
    <row r="959" spans="2:2" ht="15.75" customHeight="1">
      <c r="B959" s="79"/>
    </row>
    <row r="960" spans="2:2" ht="15.75" customHeight="1">
      <c r="B960" s="79"/>
    </row>
    <row r="961" spans="2:2" ht="15.75" customHeight="1">
      <c r="B961" s="79"/>
    </row>
    <row r="962" spans="2:2" ht="15.75" customHeight="1">
      <c r="B962" s="79"/>
    </row>
    <row r="963" spans="2:2" ht="15.75" customHeight="1">
      <c r="B963" s="79"/>
    </row>
    <row r="964" spans="2:2" ht="15.75" customHeight="1">
      <c r="B964" s="79"/>
    </row>
    <row r="965" spans="2:2" ht="15.75" customHeight="1">
      <c r="B965" s="79"/>
    </row>
    <row r="966" spans="2:2" ht="15.75" customHeight="1">
      <c r="B966" s="79"/>
    </row>
    <row r="967" spans="2:2" ht="15.75" customHeight="1">
      <c r="B967" s="79"/>
    </row>
    <row r="968" spans="2:2" ht="15.75" customHeight="1">
      <c r="B968" s="79"/>
    </row>
    <row r="969" spans="2:2" ht="15.75" customHeight="1">
      <c r="B969" s="79"/>
    </row>
    <row r="970" spans="2:2" ht="15.75" customHeight="1">
      <c r="B970" s="79"/>
    </row>
    <row r="971" spans="2:2" ht="15.75" customHeight="1">
      <c r="B971" s="79"/>
    </row>
    <row r="972" spans="2:2" ht="15.75" customHeight="1">
      <c r="B972" s="79"/>
    </row>
    <row r="973" spans="2:2" ht="15.75" customHeight="1">
      <c r="B973" s="79"/>
    </row>
    <row r="974" spans="2:2" ht="15.75" customHeight="1">
      <c r="B974" s="79"/>
    </row>
    <row r="975" spans="2:2" ht="15.75" customHeight="1">
      <c r="B975" s="79"/>
    </row>
    <row r="976" spans="2:2" ht="15.75" customHeight="1">
      <c r="B976" s="79"/>
    </row>
    <row r="977" spans="2:2" ht="15.75" customHeight="1">
      <c r="B977" s="79"/>
    </row>
    <row r="978" spans="2:2" ht="15.75" customHeight="1">
      <c r="B978" s="79"/>
    </row>
    <row r="979" spans="2:2" ht="15.75" customHeight="1">
      <c r="B979" s="79"/>
    </row>
    <row r="980" spans="2:2" ht="15.75" customHeight="1">
      <c r="B980" s="79"/>
    </row>
    <row r="981" spans="2:2" ht="15.75" customHeight="1">
      <c r="B981" s="79"/>
    </row>
    <row r="982" spans="2:2" ht="15.75" customHeight="1">
      <c r="B982" s="79"/>
    </row>
    <row r="983" spans="2:2" ht="15.75" customHeight="1">
      <c r="B983" s="79"/>
    </row>
    <row r="984" spans="2:2" ht="15.75" customHeight="1">
      <c r="B984" s="79"/>
    </row>
    <row r="985" spans="2:2" ht="15.75" customHeight="1">
      <c r="B985" s="79"/>
    </row>
    <row r="986" spans="2:2" ht="15.75" customHeight="1">
      <c r="B986" s="79"/>
    </row>
    <row r="987" spans="2:2" ht="15.75" customHeight="1">
      <c r="B987" s="79"/>
    </row>
    <row r="988" spans="2:2" ht="15.75" customHeight="1">
      <c r="B988" s="79"/>
    </row>
    <row r="989" spans="2:2" ht="15.75" customHeight="1">
      <c r="B989" s="79"/>
    </row>
    <row r="990" spans="2:2" ht="15.75" customHeight="1">
      <c r="B990" s="79"/>
    </row>
    <row r="991" spans="2:2" ht="15.75" customHeight="1">
      <c r="B991" s="79"/>
    </row>
    <row r="992" spans="2:2" ht="15.75" customHeight="1">
      <c r="B992" s="79"/>
    </row>
    <row r="993" spans="2:2" ht="15.75" customHeight="1">
      <c r="B993" s="79"/>
    </row>
    <row r="994" spans="2:2" ht="15.75" customHeight="1">
      <c r="B994" s="79"/>
    </row>
    <row r="995" spans="2:2" ht="15.75" customHeight="1">
      <c r="B995" s="79"/>
    </row>
    <row r="996" spans="2:2" ht="15.75" customHeight="1">
      <c r="B996" s="79"/>
    </row>
    <row r="997" spans="2:2" ht="15.75" customHeight="1">
      <c r="B997" s="79"/>
    </row>
    <row r="998" spans="2:2" ht="15.75" customHeight="1">
      <c r="B998" s="79"/>
    </row>
  </sheetData>
  <mergeCells count="1">
    <mergeCell ref="B73:L7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workbookViewId="0"/>
  </sheetViews>
  <sheetFormatPr baseColWidth="10" defaultColWidth="14.42578125" defaultRowHeight="15" customHeight="1"/>
  <cols>
    <col min="1" max="1" width="12" customWidth="1"/>
    <col min="2" max="2" width="60" customWidth="1"/>
    <col min="3" max="3" width="21" customWidth="1"/>
    <col min="4" max="4" width="15.7109375" customWidth="1"/>
    <col min="5" max="6" width="16.7109375" customWidth="1"/>
    <col min="7" max="7" width="18.28515625" customWidth="1"/>
    <col min="8" max="8" width="14.85546875" customWidth="1"/>
    <col min="9" max="11" width="14.85546875" hidden="1" customWidth="1"/>
    <col min="12" max="12" width="14.85546875" customWidth="1"/>
    <col min="13" max="26" width="9.140625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B2" s="4" t="s">
        <v>12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</row>
    <row r="3" spans="1:12">
      <c r="B3" s="6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24</v>
      </c>
    </row>
    <row r="4" spans="1:12">
      <c r="A4" s="8" t="s">
        <v>25</v>
      </c>
      <c r="B4" s="9" t="s">
        <v>26</v>
      </c>
      <c r="C4" s="10">
        <v>9967093</v>
      </c>
      <c r="D4" s="10">
        <v>14545799</v>
      </c>
      <c r="E4" s="10">
        <v>19408214</v>
      </c>
      <c r="F4" s="10">
        <v>22691013</v>
      </c>
      <c r="G4" s="10">
        <v>93878129</v>
      </c>
      <c r="H4" s="10">
        <v>188260</v>
      </c>
      <c r="I4" s="10">
        <v>212097</v>
      </c>
      <c r="J4" s="10">
        <v>230814</v>
      </c>
      <c r="K4" s="10">
        <v>299173</v>
      </c>
      <c r="L4" s="11">
        <f t="shared" ref="L4:L38" si="0">K4</f>
        <v>299173</v>
      </c>
    </row>
    <row r="5" spans="1:12">
      <c r="A5" s="8" t="s">
        <v>27</v>
      </c>
      <c r="B5" s="9" t="s">
        <v>28</v>
      </c>
      <c r="C5" s="10">
        <v>12819</v>
      </c>
      <c r="D5" s="10">
        <v>270000</v>
      </c>
      <c r="E5" s="10">
        <v>544078</v>
      </c>
      <c r="F5" s="10">
        <v>2039685</v>
      </c>
      <c r="G5" s="10">
        <v>0</v>
      </c>
      <c r="H5" s="10">
        <v>64173</v>
      </c>
      <c r="I5" s="10">
        <v>73996</v>
      </c>
      <c r="J5" s="10">
        <v>77183</v>
      </c>
      <c r="K5" s="10">
        <v>115489</v>
      </c>
      <c r="L5" s="11">
        <f t="shared" si="0"/>
        <v>115489</v>
      </c>
    </row>
    <row r="6" spans="1:12">
      <c r="A6" s="8" t="s">
        <v>29</v>
      </c>
      <c r="B6" s="9" t="s">
        <v>30</v>
      </c>
      <c r="C6" s="10">
        <v>23395431</v>
      </c>
      <c r="D6" s="10">
        <v>31592147</v>
      </c>
      <c r="E6" s="10">
        <v>54532538</v>
      </c>
      <c r="F6" s="10">
        <v>104628601</v>
      </c>
      <c r="G6" s="10">
        <v>380795936</v>
      </c>
      <c r="H6" s="10">
        <v>591981</v>
      </c>
      <c r="I6" s="10">
        <v>736926</v>
      </c>
      <c r="J6" s="10">
        <v>773762</v>
      </c>
      <c r="K6" s="10">
        <v>852853</v>
      </c>
      <c r="L6" s="11">
        <f t="shared" si="0"/>
        <v>852853</v>
      </c>
    </row>
    <row r="7" spans="1:12">
      <c r="A7" s="8" t="s">
        <v>31</v>
      </c>
      <c r="B7" s="9" t="s">
        <v>32</v>
      </c>
      <c r="C7" s="10">
        <v>436790</v>
      </c>
      <c r="D7" s="10">
        <v>722611</v>
      </c>
      <c r="E7" s="10">
        <v>1798310</v>
      </c>
      <c r="F7" s="10">
        <v>2860723</v>
      </c>
      <c r="G7" s="10">
        <v>92134890</v>
      </c>
      <c r="H7" s="10">
        <v>169750</v>
      </c>
      <c r="I7" s="10">
        <v>189906</v>
      </c>
      <c r="J7" s="10">
        <v>193607</v>
      </c>
      <c r="K7" s="10">
        <v>223489</v>
      </c>
      <c r="L7" s="11">
        <f t="shared" si="0"/>
        <v>223489</v>
      </c>
    </row>
    <row r="8" spans="1:12">
      <c r="A8" s="8" t="s">
        <v>33</v>
      </c>
      <c r="B8" s="9" t="s">
        <v>34</v>
      </c>
      <c r="C8" s="10">
        <v>21740320</v>
      </c>
      <c r="D8" s="10">
        <v>31360263</v>
      </c>
      <c r="E8" s="10">
        <v>55408397</v>
      </c>
      <c r="F8" s="10">
        <v>125775152</v>
      </c>
      <c r="G8" s="10">
        <v>430247953</v>
      </c>
      <c r="H8" s="10">
        <v>813051</v>
      </c>
      <c r="I8" s="10">
        <v>869479</v>
      </c>
      <c r="J8" s="10">
        <v>969144</v>
      </c>
      <c r="K8" s="10">
        <v>1046192</v>
      </c>
      <c r="L8" s="11">
        <f t="shared" si="0"/>
        <v>1046192</v>
      </c>
    </row>
    <row r="9" spans="1:12">
      <c r="A9" s="8" t="s">
        <v>35</v>
      </c>
      <c r="B9" s="9" t="s">
        <v>36</v>
      </c>
      <c r="C9" s="10">
        <v>55552453</v>
      </c>
      <c r="D9" s="10">
        <v>78490820</v>
      </c>
      <c r="E9" s="10">
        <v>131691537</v>
      </c>
      <c r="F9" s="10">
        <v>257995174</v>
      </c>
      <c r="G9" s="10">
        <v>997056908</v>
      </c>
      <c r="H9" s="10">
        <v>1827215</v>
      </c>
      <c r="I9" s="10">
        <v>2082404</v>
      </c>
      <c r="J9" s="10">
        <v>2244510</v>
      </c>
      <c r="K9" s="10">
        <v>2537196</v>
      </c>
      <c r="L9" s="11">
        <f t="shared" si="0"/>
        <v>2537196</v>
      </c>
    </row>
    <row r="10" spans="1:12">
      <c r="A10" s="8" t="s">
        <v>37</v>
      </c>
      <c r="B10" s="9" t="s">
        <v>38</v>
      </c>
      <c r="C10" s="10">
        <v>0</v>
      </c>
      <c r="D10" s="10">
        <v>0</v>
      </c>
      <c r="E10" s="10">
        <v>0</v>
      </c>
      <c r="F10" s="10">
        <v>0</v>
      </c>
      <c r="G10" s="10">
        <v>25651862</v>
      </c>
      <c r="H10" s="10">
        <v>0</v>
      </c>
      <c r="I10" s="10">
        <v>0</v>
      </c>
      <c r="J10" s="10">
        <v>0</v>
      </c>
      <c r="K10" s="10">
        <v>0</v>
      </c>
      <c r="L10" s="11">
        <f t="shared" si="0"/>
        <v>0</v>
      </c>
    </row>
    <row r="11" spans="1:12">
      <c r="A11" s="8" t="s">
        <v>39</v>
      </c>
      <c r="B11" s="9" t="s">
        <v>40</v>
      </c>
      <c r="C11" s="10">
        <v>2021473</v>
      </c>
      <c r="D11" s="10">
        <v>2871511</v>
      </c>
      <c r="E11" s="10">
        <v>5308379</v>
      </c>
      <c r="F11" s="10">
        <v>6869911</v>
      </c>
      <c r="G11" s="10">
        <v>33105015</v>
      </c>
      <c r="H11" s="10">
        <v>40525</v>
      </c>
      <c r="I11" s="10">
        <v>51263</v>
      </c>
      <c r="J11" s="10">
        <v>65626</v>
      </c>
      <c r="K11" s="10">
        <v>55038</v>
      </c>
      <c r="L11" s="11">
        <f t="shared" si="0"/>
        <v>55038</v>
      </c>
    </row>
    <row r="12" spans="1:12">
      <c r="A12" s="8" t="s">
        <v>41</v>
      </c>
      <c r="B12" s="9" t="s">
        <v>42</v>
      </c>
      <c r="C12" s="10">
        <v>36153579</v>
      </c>
      <c r="D12" s="10">
        <v>47341953</v>
      </c>
      <c r="E12" s="10">
        <v>69068934</v>
      </c>
      <c r="F12" s="10">
        <v>129208029</v>
      </c>
      <c r="G12" s="10">
        <v>448330019</v>
      </c>
      <c r="H12" s="10">
        <v>871537</v>
      </c>
      <c r="I12" s="10">
        <v>942319</v>
      </c>
      <c r="J12" s="10">
        <v>1040530</v>
      </c>
      <c r="K12" s="10">
        <v>1179900</v>
      </c>
      <c r="L12" s="11">
        <f t="shared" si="0"/>
        <v>1179900</v>
      </c>
    </row>
    <row r="13" spans="1:12">
      <c r="A13" s="8" t="s">
        <v>43</v>
      </c>
      <c r="B13" s="9" t="s">
        <v>44</v>
      </c>
      <c r="C13" s="10">
        <v>11334032</v>
      </c>
      <c r="D13" s="10">
        <v>13956676</v>
      </c>
      <c r="E13" s="10">
        <v>20079742</v>
      </c>
      <c r="F13" s="10">
        <v>34882563</v>
      </c>
      <c r="G13" s="10">
        <v>114849968</v>
      </c>
      <c r="H13" s="10">
        <v>191735</v>
      </c>
      <c r="I13" s="10">
        <v>196849</v>
      </c>
      <c r="J13" s="10">
        <v>214940</v>
      </c>
      <c r="K13" s="10">
        <v>241236</v>
      </c>
      <c r="L13" s="11">
        <f t="shared" si="0"/>
        <v>241236</v>
      </c>
    </row>
    <row r="14" spans="1:12">
      <c r="A14" s="8" t="s">
        <v>45</v>
      </c>
      <c r="B14" s="9" t="s">
        <v>46</v>
      </c>
      <c r="C14" s="10">
        <v>6012614</v>
      </c>
      <c r="D14" s="10">
        <v>8047950</v>
      </c>
      <c r="E14" s="10">
        <v>12120352</v>
      </c>
      <c r="F14" s="10">
        <v>23760963</v>
      </c>
      <c r="G14" s="10">
        <v>74628912</v>
      </c>
      <c r="H14" s="10">
        <v>156774</v>
      </c>
      <c r="I14" s="10">
        <v>168364</v>
      </c>
      <c r="J14" s="10">
        <v>181856</v>
      </c>
      <c r="K14" s="10">
        <v>200346</v>
      </c>
      <c r="L14" s="11">
        <f t="shared" si="0"/>
        <v>200346</v>
      </c>
    </row>
    <row r="15" spans="1:12">
      <c r="A15" s="8" t="s">
        <v>47</v>
      </c>
      <c r="B15" s="9" t="s">
        <v>48</v>
      </c>
      <c r="C15" s="10">
        <v>55521698</v>
      </c>
      <c r="D15" s="10">
        <v>72218090</v>
      </c>
      <c r="E15" s="10">
        <v>106577407</v>
      </c>
      <c r="F15" s="10">
        <v>194721466</v>
      </c>
      <c r="G15" s="10">
        <v>696565776</v>
      </c>
      <c r="H15" s="10">
        <v>1260571</v>
      </c>
      <c r="I15" s="10">
        <v>1358795</v>
      </c>
      <c r="J15" s="10">
        <v>1502952</v>
      </c>
      <c r="K15" s="10">
        <v>1676520</v>
      </c>
      <c r="L15" s="11">
        <f t="shared" si="0"/>
        <v>1676520</v>
      </c>
    </row>
    <row r="16" spans="1:12">
      <c r="A16" s="8" t="s">
        <v>49</v>
      </c>
      <c r="B16" s="9" t="s">
        <v>50</v>
      </c>
      <c r="C16" s="10">
        <v>111074151</v>
      </c>
      <c r="D16" s="10">
        <v>150708910</v>
      </c>
      <c r="E16" s="10">
        <v>238268944</v>
      </c>
      <c r="F16" s="10">
        <v>452716640</v>
      </c>
      <c r="G16" s="10">
        <v>1693622684</v>
      </c>
      <c r="H16" s="10">
        <v>3087786</v>
      </c>
      <c r="I16" s="10">
        <v>3441199</v>
      </c>
      <c r="J16" s="10">
        <v>3747462</v>
      </c>
      <c r="K16" s="10">
        <v>4213716</v>
      </c>
      <c r="L16" s="11">
        <f t="shared" si="0"/>
        <v>4213716</v>
      </c>
    </row>
    <row r="17" spans="1:12">
      <c r="A17" s="8" t="s">
        <v>51</v>
      </c>
      <c r="B17" s="9" t="s">
        <v>52</v>
      </c>
      <c r="C17" s="10">
        <v>700000</v>
      </c>
      <c r="D17" s="10">
        <v>700000</v>
      </c>
      <c r="E17" s="10">
        <v>700000</v>
      </c>
      <c r="F17" s="10">
        <v>700000</v>
      </c>
      <c r="G17" s="10">
        <v>700000</v>
      </c>
      <c r="H17" s="10">
        <v>700</v>
      </c>
      <c r="I17" s="10">
        <v>700</v>
      </c>
      <c r="J17" s="10">
        <v>700</v>
      </c>
      <c r="K17" s="10">
        <v>700</v>
      </c>
      <c r="L17" s="11">
        <f t="shared" si="0"/>
        <v>700</v>
      </c>
    </row>
    <row r="18" spans="1:12">
      <c r="A18" s="8" t="s">
        <v>53</v>
      </c>
      <c r="B18" s="9" t="s">
        <v>54</v>
      </c>
      <c r="C18" s="10">
        <v>4753329</v>
      </c>
      <c r="D18" s="10">
        <v>6724194</v>
      </c>
      <c r="E18" s="10">
        <v>10506199</v>
      </c>
      <c r="F18" s="10">
        <v>21128913</v>
      </c>
      <c r="G18" s="10">
        <v>67276901</v>
      </c>
      <c r="H18" s="10">
        <v>147329</v>
      </c>
      <c r="I18" s="10">
        <v>157954</v>
      </c>
      <c r="J18" s="10">
        <v>170148</v>
      </c>
      <c r="K18" s="10">
        <v>181700</v>
      </c>
      <c r="L18" s="11">
        <f t="shared" si="0"/>
        <v>181700</v>
      </c>
    </row>
    <row r="19" spans="1:12">
      <c r="A19" s="8" t="s">
        <v>55</v>
      </c>
      <c r="B19" s="9" t="s">
        <v>56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1">
        <f t="shared" si="0"/>
        <v>0</v>
      </c>
    </row>
    <row r="20" spans="1:12">
      <c r="A20" s="8" t="s">
        <v>57</v>
      </c>
      <c r="B20" s="9" t="s">
        <v>58</v>
      </c>
      <c r="C20" s="10">
        <v>-1200</v>
      </c>
      <c r="D20" s="10">
        <v>-1634</v>
      </c>
      <c r="E20" s="10">
        <v>-2466</v>
      </c>
      <c r="F20" s="10">
        <v>-4804</v>
      </c>
      <c r="G20" s="10">
        <v>-14957</v>
      </c>
      <c r="H20" s="10">
        <v>-33</v>
      </c>
      <c r="I20" s="10">
        <v>-35</v>
      </c>
      <c r="J20" s="10">
        <v>-38</v>
      </c>
      <c r="K20" s="10">
        <v>-40</v>
      </c>
      <c r="L20" s="11">
        <f t="shared" si="0"/>
        <v>-40</v>
      </c>
    </row>
    <row r="21" spans="1:12" ht="15.75" customHeight="1">
      <c r="A21" s="8" t="s">
        <v>59</v>
      </c>
      <c r="B21" s="9" t="s">
        <v>60</v>
      </c>
      <c r="C21" s="10">
        <v>1090666</v>
      </c>
      <c r="D21" s="10">
        <v>1484839</v>
      </c>
      <c r="E21" s="10">
        <v>2241240</v>
      </c>
      <c r="F21" s="10">
        <v>4365783</v>
      </c>
      <c r="G21" s="10">
        <v>13595380</v>
      </c>
      <c r="H21" s="10">
        <v>29605</v>
      </c>
      <c r="I21" s="10">
        <v>31731</v>
      </c>
      <c r="J21" s="10">
        <v>34170</v>
      </c>
      <c r="K21" s="10">
        <v>36480</v>
      </c>
      <c r="L21" s="11">
        <f t="shared" si="0"/>
        <v>36480</v>
      </c>
    </row>
    <row r="22" spans="1:12" ht="15.75" customHeight="1">
      <c r="A22" s="8" t="s">
        <v>61</v>
      </c>
      <c r="B22" s="9" t="s">
        <v>62</v>
      </c>
      <c r="C22" s="10">
        <v>13363543</v>
      </c>
      <c r="D22" s="10">
        <v>13767439</v>
      </c>
      <c r="E22" s="10">
        <v>20287324</v>
      </c>
      <c r="F22" s="10">
        <v>63436265</v>
      </c>
      <c r="G22" s="10">
        <v>239819480</v>
      </c>
      <c r="H22" s="10">
        <v>504841</v>
      </c>
      <c r="I22" s="10">
        <v>541078</v>
      </c>
      <c r="J22" s="10">
        <v>893048</v>
      </c>
      <c r="K22" s="10">
        <v>953432</v>
      </c>
      <c r="L22" s="11">
        <f t="shared" si="0"/>
        <v>953432</v>
      </c>
    </row>
    <row r="23" spans="1:12" ht="15.75" customHeight="1">
      <c r="A23" s="8" t="s">
        <v>63</v>
      </c>
      <c r="B23" s="9" t="s">
        <v>64</v>
      </c>
      <c r="C23" s="10">
        <v>10789816</v>
      </c>
      <c r="D23" s="10">
        <v>15730341</v>
      </c>
      <c r="E23" s="10">
        <v>30070780</v>
      </c>
      <c r="F23" s="10">
        <v>60363036</v>
      </c>
      <c r="G23" s="10">
        <v>226271441</v>
      </c>
      <c r="H23" s="10">
        <v>435958</v>
      </c>
      <c r="I23" s="10">
        <v>472704</v>
      </c>
      <c r="J23" s="10">
        <v>523198</v>
      </c>
      <c r="K23" s="10">
        <v>592076</v>
      </c>
      <c r="L23" s="11">
        <f t="shared" si="0"/>
        <v>592076</v>
      </c>
    </row>
    <row r="24" spans="1:12" ht="15.75" customHeight="1">
      <c r="A24" s="8" t="s">
        <v>65</v>
      </c>
      <c r="B24" s="9" t="s">
        <v>66</v>
      </c>
      <c r="C24" s="10">
        <v>-1695095</v>
      </c>
      <c r="D24" s="10">
        <v>4223768</v>
      </c>
      <c r="E24" s="10">
        <v>18309492</v>
      </c>
      <c r="F24" s="10">
        <v>31523934</v>
      </c>
      <c r="G24" s="10">
        <v>1573823</v>
      </c>
      <c r="H24" s="10">
        <v>299193</v>
      </c>
      <c r="I24" s="10">
        <v>351527</v>
      </c>
      <c r="J24" s="10">
        <v>29121</v>
      </c>
      <c r="K24" s="10">
        <v>40374</v>
      </c>
      <c r="L24" s="11">
        <f t="shared" si="0"/>
        <v>40374</v>
      </c>
    </row>
    <row r="25" spans="1:12" ht="15.75" customHeight="1">
      <c r="A25" s="8" t="s">
        <v>67</v>
      </c>
      <c r="B25" s="9" t="s">
        <v>68</v>
      </c>
      <c r="C25" s="10">
        <v>909397</v>
      </c>
      <c r="D25" s="10">
        <v>1077709</v>
      </c>
      <c r="E25" s="10">
        <v>-9257332</v>
      </c>
      <c r="F25" s="10">
        <v>-24374051</v>
      </c>
      <c r="G25" s="10">
        <v>13802654</v>
      </c>
      <c r="H25" s="10">
        <v>-272930</v>
      </c>
      <c r="I25" s="10">
        <v>-293987</v>
      </c>
      <c r="J25" s="10">
        <v>-287558</v>
      </c>
      <c r="K25" s="10">
        <v>-274005</v>
      </c>
      <c r="L25" s="11">
        <f t="shared" si="0"/>
        <v>-274005</v>
      </c>
    </row>
    <row r="26" spans="1:12" ht="15.75" customHeight="1">
      <c r="A26" s="8" t="s">
        <v>69</v>
      </c>
      <c r="B26" s="9" t="s">
        <v>70</v>
      </c>
      <c r="C26" s="10">
        <v>29910456</v>
      </c>
      <c r="D26" s="10">
        <v>43706656</v>
      </c>
      <c r="E26" s="10">
        <v>72855237</v>
      </c>
      <c r="F26" s="10">
        <v>157139076</v>
      </c>
      <c r="G26" s="10">
        <v>563024722</v>
      </c>
      <c r="H26" s="10">
        <v>1144663</v>
      </c>
      <c r="I26" s="10">
        <v>1261672</v>
      </c>
      <c r="J26" s="10">
        <v>1362789</v>
      </c>
      <c r="K26" s="10">
        <v>1530717</v>
      </c>
      <c r="L26" s="11">
        <f t="shared" si="0"/>
        <v>1530717</v>
      </c>
    </row>
    <row r="27" spans="1:12" ht="15.75" customHeight="1">
      <c r="A27" s="8" t="s">
        <v>71</v>
      </c>
      <c r="B27" s="9" t="s">
        <v>72</v>
      </c>
      <c r="C27" s="10">
        <v>16464005</v>
      </c>
      <c r="D27" s="10">
        <v>15966047</v>
      </c>
      <c r="E27" s="10">
        <v>25972939</v>
      </c>
      <c r="F27" s="10">
        <v>68018628</v>
      </c>
      <c r="G27" s="10">
        <v>206353481</v>
      </c>
      <c r="H27" s="10">
        <v>662930</v>
      </c>
      <c r="I27" s="10">
        <v>820385</v>
      </c>
      <c r="J27" s="10">
        <v>870421</v>
      </c>
      <c r="K27" s="10">
        <v>653562</v>
      </c>
      <c r="L27" s="11">
        <f t="shared" si="0"/>
        <v>653562</v>
      </c>
    </row>
    <row r="28" spans="1:12" ht="15.75" customHeight="1">
      <c r="A28" s="8" t="s">
        <v>73</v>
      </c>
      <c r="B28" s="9" t="s">
        <v>74</v>
      </c>
      <c r="C28" s="10">
        <v>21014473</v>
      </c>
      <c r="D28" s="10">
        <v>32310265</v>
      </c>
      <c r="E28" s="10">
        <v>54969013</v>
      </c>
      <c r="F28" s="10">
        <v>129638972</v>
      </c>
      <c r="G28" s="10">
        <v>489611874</v>
      </c>
      <c r="H28" s="10">
        <v>681364</v>
      </c>
      <c r="I28" s="10">
        <v>752313</v>
      </c>
      <c r="J28" s="10">
        <v>836887</v>
      </c>
      <c r="K28" s="10">
        <v>942558</v>
      </c>
      <c r="L28" s="11">
        <f t="shared" si="0"/>
        <v>942558</v>
      </c>
    </row>
    <row r="29" spans="1:12" ht="15.75" customHeight="1">
      <c r="A29" s="8" t="s">
        <v>75</v>
      </c>
      <c r="B29" s="9" t="s">
        <v>76</v>
      </c>
      <c r="C29" s="10">
        <v>733082</v>
      </c>
      <c r="D29" s="10">
        <v>685116</v>
      </c>
      <c r="E29" s="10">
        <v>1647414</v>
      </c>
      <c r="F29" s="10">
        <v>1344699</v>
      </c>
      <c r="G29" s="10">
        <v>5941222</v>
      </c>
      <c r="H29" s="10">
        <v>108863</v>
      </c>
      <c r="I29" s="10">
        <v>107331</v>
      </c>
      <c r="J29" s="10">
        <v>49993</v>
      </c>
      <c r="K29" s="10">
        <v>65192</v>
      </c>
      <c r="L29" s="11">
        <f t="shared" si="0"/>
        <v>65192</v>
      </c>
    </row>
    <row r="30" spans="1:12" ht="15.75" customHeight="1">
      <c r="A30" s="8" t="s">
        <v>77</v>
      </c>
      <c r="B30" s="9" t="s">
        <v>78</v>
      </c>
      <c r="C30" s="10">
        <v>776581</v>
      </c>
      <c r="D30" s="10">
        <v>1353437</v>
      </c>
      <c r="E30" s="10">
        <v>2298295</v>
      </c>
      <c r="F30" s="10">
        <v>3282422</v>
      </c>
      <c r="G30" s="10">
        <v>9752311</v>
      </c>
      <c r="H30" s="10">
        <v>18742</v>
      </c>
      <c r="I30" s="10">
        <v>15644</v>
      </c>
      <c r="J30" s="10">
        <v>17376</v>
      </c>
      <c r="K30" s="10">
        <v>18849</v>
      </c>
      <c r="L30" s="11">
        <f t="shared" si="0"/>
        <v>18849</v>
      </c>
    </row>
    <row r="31" spans="1:12" ht="15.75" customHeight="1">
      <c r="A31" s="8" t="s">
        <v>79</v>
      </c>
      <c r="B31" s="9" t="s">
        <v>80</v>
      </c>
      <c r="C31" s="10">
        <v>38988141</v>
      </c>
      <c r="D31" s="10">
        <v>50314865</v>
      </c>
      <c r="E31" s="10">
        <v>84887661</v>
      </c>
      <c r="F31" s="10">
        <v>202284721</v>
      </c>
      <c r="G31" s="10">
        <v>711658888</v>
      </c>
      <c r="H31" s="10">
        <v>1471899</v>
      </c>
      <c r="I31" s="10">
        <v>1695673</v>
      </c>
      <c r="J31" s="10">
        <v>1774677</v>
      </c>
      <c r="K31" s="10">
        <v>1680161</v>
      </c>
      <c r="L31" s="11">
        <f t="shared" si="0"/>
        <v>1680161</v>
      </c>
    </row>
    <row r="32" spans="1:12" ht="15.75" customHeight="1">
      <c r="A32" s="8" t="s">
        <v>81</v>
      </c>
      <c r="B32" s="9" t="s">
        <v>82</v>
      </c>
      <c r="C32" s="10">
        <v>37813644</v>
      </c>
      <c r="D32" s="10">
        <v>47787268</v>
      </c>
      <c r="E32" s="10">
        <v>59378990</v>
      </c>
      <c r="F32" s="10">
        <v>60585501</v>
      </c>
      <c r="G32" s="10">
        <v>313802992</v>
      </c>
      <c r="H32" s="10">
        <v>259485</v>
      </c>
      <c r="I32" s="10">
        <v>240426</v>
      </c>
      <c r="J32" s="10">
        <v>327135</v>
      </c>
      <c r="K32" s="10">
        <v>722798</v>
      </c>
      <c r="L32" s="11">
        <f t="shared" si="0"/>
        <v>722798</v>
      </c>
    </row>
    <row r="33" spans="1:12" ht="15.75" customHeight="1">
      <c r="A33" s="8" t="s">
        <v>83</v>
      </c>
      <c r="B33" s="9" t="s">
        <v>84</v>
      </c>
      <c r="C33" s="10">
        <v>268317</v>
      </c>
      <c r="D33" s="10">
        <v>391873</v>
      </c>
      <c r="E33" s="10">
        <v>840815</v>
      </c>
      <c r="F33" s="10">
        <v>1198699</v>
      </c>
      <c r="G33" s="10">
        <v>15170383</v>
      </c>
      <c r="H33" s="10">
        <v>30562</v>
      </c>
      <c r="I33" s="10">
        <v>43471</v>
      </c>
      <c r="J33" s="10">
        <v>32030</v>
      </c>
      <c r="K33" s="10">
        <v>38062</v>
      </c>
      <c r="L33" s="11">
        <f t="shared" si="0"/>
        <v>38062</v>
      </c>
    </row>
    <row r="34" spans="1:12" ht="15.75" customHeight="1">
      <c r="A34" s="8" t="s">
        <v>85</v>
      </c>
      <c r="B34" s="9" t="s">
        <v>86</v>
      </c>
      <c r="C34" s="10">
        <v>1762676</v>
      </c>
      <c r="D34" s="10">
        <v>3465668</v>
      </c>
      <c r="E34" s="10">
        <v>13499595</v>
      </c>
      <c r="F34" s="10">
        <v>22339342</v>
      </c>
      <c r="G34" s="10">
        <v>62735917</v>
      </c>
      <c r="H34" s="10">
        <v>134029</v>
      </c>
      <c r="I34" s="10">
        <v>147692</v>
      </c>
      <c r="J34" s="10">
        <v>194678</v>
      </c>
      <c r="K34" s="10">
        <v>179117</v>
      </c>
      <c r="L34" s="11">
        <f t="shared" si="0"/>
        <v>179117</v>
      </c>
    </row>
    <row r="35" spans="1:12" ht="15.75" customHeight="1">
      <c r="A35" s="8" t="s">
        <v>87</v>
      </c>
      <c r="B35" s="9" t="s">
        <v>88</v>
      </c>
      <c r="C35" s="10">
        <v>2330917</v>
      </c>
      <c r="D35" s="10">
        <v>5042580</v>
      </c>
      <c r="E35" s="10">
        <v>6806646</v>
      </c>
      <c r="F35" s="10">
        <v>9169301</v>
      </c>
      <c r="G35" s="10">
        <v>27229782</v>
      </c>
      <c r="H35" s="10">
        <v>47148</v>
      </c>
      <c r="I35" s="10">
        <v>52265</v>
      </c>
      <c r="J35" s="10">
        <v>56153</v>
      </c>
      <c r="K35" s="10">
        <v>62861</v>
      </c>
      <c r="L35" s="11">
        <f t="shared" si="0"/>
        <v>62861</v>
      </c>
    </row>
    <row r="36" spans="1:12" ht="15.75" customHeight="1">
      <c r="A36" s="8" t="s">
        <v>89</v>
      </c>
      <c r="B36" s="9" t="s">
        <v>90</v>
      </c>
      <c r="C36" s="10">
        <v>42175554</v>
      </c>
      <c r="D36" s="10">
        <v>56687389</v>
      </c>
      <c r="E36" s="10">
        <v>80526046</v>
      </c>
      <c r="F36" s="10">
        <v>93292843</v>
      </c>
      <c r="G36" s="10">
        <v>418939074</v>
      </c>
      <c r="H36" s="10">
        <v>471224</v>
      </c>
      <c r="I36" s="10">
        <v>483854</v>
      </c>
      <c r="J36" s="10">
        <v>609996</v>
      </c>
      <c r="K36" s="10">
        <v>1002838</v>
      </c>
      <c r="L36" s="11">
        <f t="shared" si="0"/>
        <v>1002838</v>
      </c>
    </row>
    <row r="37" spans="1:12" ht="15.75" customHeight="1">
      <c r="A37" s="8" t="s">
        <v>91</v>
      </c>
      <c r="B37" s="9" t="s">
        <v>92</v>
      </c>
      <c r="C37" s="10">
        <v>81163695</v>
      </c>
      <c r="D37" s="10">
        <v>107002254</v>
      </c>
      <c r="E37" s="10">
        <v>165413707</v>
      </c>
      <c r="F37" s="10">
        <v>295577564</v>
      </c>
      <c r="G37" s="10">
        <v>1130597962</v>
      </c>
      <c r="H37" s="10">
        <v>1943123</v>
      </c>
      <c r="I37" s="10">
        <v>2179527</v>
      </c>
      <c r="J37" s="10">
        <v>2384673</v>
      </c>
      <c r="K37" s="10">
        <v>2682999</v>
      </c>
      <c r="L37" s="11">
        <f t="shared" si="0"/>
        <v>2682999</v>
      </c>
    </row>
    <row r="38" spans="1:12" ht="15.75" customHeight="1">
      <c r="A38" s="8" t="s">
        <v>93</v>
      </c>
      <c r="B38" s="9" t="s">
        <v>94</v>
      </c>
      <c r="C38" s="10">
        <v>111074151</v>
      </c>
      <c r="D38" s="10">
        <v>150708910</v>
      </c>
      <c r="E38" s="10">
        <v>238268944</v>
      </c>
      <c r="F38" s="10">
        <v>452716640</v>
      </c>
      <c r="G38" s="10">
        <v>1693622684</v>
      </c>
      <c r="H38" s="10">
        <v>3087786</v>
      </c>
      <c r="I38" s="10">
        <v>3441199</v>
      </c>
      <c r="J38" s="10">
        <v>3747462</v>
      </c>
      <c r="K38" s="10">
        <v>4213716</v>
      </c>
      <c r="L38" s="11">
        <f t="shared" si="0"/>
        <v>4213716</v>
      </c>
    </row>
    <row r="39" spans="1:12" ht="15.75" customHeight="1">
      <c r="A39" s="8" t="s">
        <v>95</v>
      </c>
      <c r="B39" s="9" t="s">
        <v>96</v>
      </c>
      <c r="C39" s="10">
        <v>134710183</v>
      </c>
      <c r="D39" s="10">
        <v>177011474</v>
      </c>
      <c r="E39" s="10">
        <v>301186064</v>
      </c>
      <c r="F39" s="10">
        <v>625082119</v>
      </c>
      <c r="G39" s="10">
        <v>1915228985</v>
      </c>
      <c r="H39" s="10">
        <v>3939656</v>
      </c>
      <c r="I39" s="10">
        <v>1001485</v>
      </c>
      <c r="J39" s="10">
        <v>2141900</v>
      </c>
      <c r="K39" s="10">
        <v>3509495</v>
      </c>
      <c r="L39" s="11">
        <f t="shared" ref="L39:L63" si="1">J39+K39</f>
        <v>5651395</v>
      </c>
    </row>
    <row r="40" spans="1:12" ht="15.75" customHeight="1">
      <c r="A40" s="8" t="s">
        <v>97</v>
      </c>
      <c r="B40" s="9" t="s">
        <v>98</v>
      </c>
      <c r="C40" s="10">
        <v>-95708003</v>
      </c>
      <c r="D40" s="10">
        <v>-118808429</v>
      </c>
      <c r="E40" s="10">
        <v>-213122964</v>
      </c>
      <c r="F40" s="10">
        <v>-441556114</v>
      </c>
      <c r="G40" s="10">
        <v>-1376307150</v>
      </c>
      <c r="H40" s="10">
        <v>-2798707</v>
      </c>
      <c r="I40" s="10">
        <v>-701508</v>
      </c>
      <c r="J40" s="10">
        <v>-1522399</v>
      </c>
      <c r="K40" s="10">
        <v>-2472049</v>
      </c>
      <c r="L40" s="11">
        <f t="shared" si="1"/>
        <v>-3994448</v>
      </c>
    </row>
    <row r="41" spans="1:12" ht="15.75" customHeight="1">
      <c r="A41" s="8" t="s">
        <v>99</v>
      </c>
      <c r="B41" s="9" t="s">
        <v>100</v>
      </c>
      <c r="C41" s="10">
        <v>39002180</v>
      </c>
      <c r="D41" s="10">
        <v>58203045</v>
      </c>
      <c r="E41" s="10">
        <v>88063100</v>
      </c>
      <c r="F41" s="10">
        <v>183526005</v>
      </c>
      <c r="G41" s="10">
        <v>538921835</v>
      </c>
      <c r="H41" s="10">
        <v>1140949</v>
      </c>
      <c r="I41" s="10">
        <v>299977</v>
      </c>
      <c r="J41" s="10">
        <v>619501</v>
      </c>
      <c r="K41" s="10">
        <v>1037446</v>
      </c>
      <c r="L41" s="11">
        <f t="shared" si="1"/>
        <v>1656947</v>
      </c>
    </row>
    <row r="42" spans="1:12" ht="15.75" customHeight="1">
      <c r="A42" s="8" t="s">
        <v>101</v>
      </c>
      <c r="B42" s="9" t="s">
        <v>102</v>
      </c>
      <c r="C42" s="10">
        <v>-337237</v>
      </c>
      <c r="D42" s="10">
        <v>-689261</v>
      </c>
      <c r="E42" s="10">
        <v>-949583</v>
      </c>
      <c r="F42" s="10">
        <v>-2006338</v>
      </c>
      <c r="G42" s="10">
        <v>-4658927</v>
      </c>
      <c r="H42" s="10">
        <v>-7044</v>
      </c>
      <c r="I42" s="10">
        <v>-1999</v>
      </c>
      <c r="J42" s="10">
        <v>-2805</v>
      </c>
      <c r="K42" s="10">
        <v>-5249</v>
      </c>
      <c r="L42" s="11">
        <f t="shared" si="1"/>
        <v>-8054</v>
      </c>
    </row>
    <row r="43" spans="1:12" ht="15.75" customHeight="1">
      <c r="A43" s="8" t="s">
        <v>103</v>
      </c>
      <c r="B43" s="9" t="s">
        <v>104</v>
      </c>
      <c r="C43" s="10">
        <v>-5490776</v>
      </c>
      <c r="D43" s="10">
        <v>-6652861</v>
      </c>
      <c r="E43" s="10">
        <v>-11150213</v>
      </c>
      <c r="F43" s="10">
        <v>-26983449</v>
      </c>
      <c r="G43" s="10">
        <v>-89031509</v>
      </c>
      <c r="H43" s="10">
        <v>-150930</v>
      </c>
      <c r="I43" s="10">
        <v>-36714</v>
      </c>
      <c r="J43" s="10">
        <v>-87183</v>
      </c>
      <c r="K43" s="10">
        <v>-142918</v>
      </c>
      <c r="L43" s="11">
        <f t="shared" si="1"/>
        <v>-230101</v>
      </c>
    </row>
    <row r="44" spans="1:12" ht="15.75" customHeight="1">
      <c r="A44" s="8" t="s">
        <v>105</v>
      </c>
      <c r="B44" s="9" t="s">
        <v>106</v>
      </c>
      <c r="C44" s="10">
        <v>-22539035</v>
      </c>
      <c r="D44" s="10">
        <v>-27089202</v>
      </c>
      <c r="E44" s="10">
        <v>-44890744</v>
      </c>
      <c r="F44" s="10">
        <v>-90240960</v>
      </c>
      <c r="G44" s="10">
        <v>-286127543</v>
      </c>
      <c r="H44" s="10">
        <v>-608210</v>
      </c>
      <c r="I44" s="10">
        <v>-149571</v>
      </c>
      <c r="J44" s="10">
        <v>-327305</v>
      </c>
      <c r="K44" s="10">
        <v>-527364</v>
      </c>
      <c r="L44" s="11">
        <f t="shared" si="1"/>
        <v>-854669</v>
      </c>
    </row>
    <row r="45" spans="1:12" ht="15.75" customHeight="1">
      <c r="A45" s="8" t="s">
        <v>107</v>
      </c>
      <c r="B45" s="9" t="s">
        <v>108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1">
        <f t="shared" si="1"/>
        <v>0</v>
      </c>
    </row>
    <row r="46" spans="1:12" ht="15.75" customHeight="1">
      <c r="A46" s="8" t="s">
        <v>109</v>
      </c>
      <c r="B46" s="9" t="s">
        <v>110</v>
      </c>
      <c r="C46" s="10">
        <v>413377</v>
      </c>
      <c r="D46" s="10">
        <v>-550419</v>
      </c>
      <c r="E46" s="10">
        <v>-911686</v>
      </c>
      <c r="F46" s="10">
        <v>-5984624</v>
      </c>
      <c r="G46" s="10">
        <v>-2542498</v>
      </c>
      <c r="H46" s="10">
        <v>-57142</v>
      </c>
      <c r="I46" s="10">
        <v>-5222</v>
      </c>
      <c r="J46" s="10">
        <v>-14571</v>
      </c>
      <c r="K46" s="10">
        <v>-23816</v>
      </c>
      <c r="L46" s="11">
        <f t="shared" si="1"/>
        <v>-38387</v>
      </c>
    </row>
    <row r="47" spans="1:12" ht="15.75" customHeight="1">
      <c r="A47" s="8" t="s">
        <v>111</v>
      </c>
      <c r="B47" s="9" t="s">
        <v>112</v>
      </c>
      <c r="C47" s="10">
        <v>-4498808</v>
      </c>
      <c r="D47" s="10">
        <v>-5059685</v>
      </c>
      <c r="E47" s="10">
        <v>-8113506</v>
      </c>
      <c r="F47" s="10">
        <v>-15882085</v>
      </c>
      <c r="G47" s="10">
        <v>-48388971</v>
      </c>
      <c r="H47" s="10">
        <v>-108372</v>
      </c>
      <c r="I47" s="10">
        <v>-26506</v>
      </c>
      <c r="J47" s="10">
        <v>-60339</v>
      </c>
      <c r="K47" s="10">
        <v>-100525</v>
      </c>
      <c r="L47" s="11">
        <f t="shared" si="1"/>
        <v>-160864</v>
      </c>
    </row>
    <row r="48" spans="1:12" ht="15.75" customHeight="1">
      <c r="A48" s="8" t="s">
        <v>113</v>
      </c>
      <c r="B48" s="9" t="s">
        <v>114</v>
      </c>
      <c r="C48" s="10">
        <v>6549701</v>
      </c>
      <c r="D48" s="10">
        <v>18161617</v>
      </c>
      <c r="E48" s="10">
        <v>22047368</v>
      </c>
      <c r="F48" s="10">
        <v>42428549</v>
      </c>
      <c r="G48" s="10">
        <v>108172387</v>
      </c>
      <c r="H48" s="10">
        <v>209251</v>
      </c>
      <c r="I48" s="10">
        <v>79965</v>
      </c>
      <c r="J48" s="10">
        <v>127298</v>
      </c>
      <c r="K48" s="10">
        <v>237574</v>
      </c>
      <c r="L48" s="11">
        <f t="shared" si="1"/>
        <v>364872</v>
      </c>
    </row>
    <row r="49" spans="1:12" ht="15.75" customHeight="1">
      <c r="A49" s="8" t="s">
        <v>115</v>
      </c>
      <c r="B49" s="9" t="s">
        <v>116</v>
      </c>
      <c r="C49" s="10">
        <v>405118</v>
      </c>
      <c r="D49" s="10">
        <v>-1411174</v>
      </c>
      <c r="E49" s="10">
        <v>-2162115</v>
      </c>
      <c r="F49" s="10">
        <v>-13927463</v>
      </c>
      <c r="G49" s="10">
        <v>-30087535</v>
      </c>
      <c r="H49" s="10">
        <v>-83576</v>
      </c>
      <c r="I49" s="10">
        <v>7734</v>
      </c>
      <c r="J49" s="10">
        <v>7557</v>
      </c>
      <c r="K49" s="10">
        <v>14536</v>
      </c>
      <c r="L49" s="11">
        <f t="shared" si="1"/>
        <v>22093</v>
      </c>
    </row>
    <row r="50" spans="1:12" ht="15.75" customHeight="1">
      <c r="A50" s="8" t="s">
        <v>117</v>
      </c>
      <c r="B50" s="9" t="s">
        <v>118</v>
      </c>
      <c r="C50" s="10">
        <v>-4664315</v>
      </c>
      <c r="D50" s="10">
        <v>-5511962</v>
      </c>
      <c r="E50" s="10">
        <v>-2559124</v>
      </c>
      <c r="F50" s="10">
        <v>-237389</v>
      </c>
      <c r="G50" s="10">
        <v>73098377</v>
      </c>
      <c r="H50" s="10">
        <v>-75429</v>
      </c>
      <c r="I50" s="10">
        <v>-27595</v>
      </c>
      <c r="J50" s="10">
        <v>-64250</v>
      </c>
      <c r="K50" s="10">
        <v>-98058</v>
      </c>
      <c r="L50" s="11">
        <f t="shared" si="1"/>
        <v>-162308</v>
      </c>
    </row>
    <row r="51" spans="1:12" ht="15.75" customHeight="1">
      <c r="A51" s="8" t="s">
        <v>119</v>
      </c>
      <c r="B51" s="9" t="s">
        <v>120</v>
      </c>
      <c r="C51" s="10">
        <v>997285</v>
      </c>
      <c r="D51" s="10">
        <v>1936870</v>
      </c>
      <c r="E51" s="10">
        <v>4918674</v>
      </c>
      <c r="F51" s="10">
        <v>21349545</v>
      </c>
      <c r="G51" s="10">
        <v>102466212</v>
      </c>
      <c r="H51" s="10">
        <v>145399</v>
      </c>
      <c r="I51" s="10">
        <v>11129</v>
      </c>
      <c r="J51" s="10">
        <v>24942</v>
      </c>
      <c r="K51" s="10">
        <v>37780</v>
      </c>
      <c r="L51" s="11">
        <f t="shared" si="1"/>
        <v>62722</v>
      </c>
    </row>
    <row r="52" spans="1:12" ht="15.75" customHeight="1">
      <c r="A52" s="8" t="s">
        <v>121</v>
      </c>
      <c r="B52" s="9" t="s">
        <v>122</v>
      </c>
      <c r="C52" s="10">
        <v>-335610</v>
      </c>
      <c r="D52" s="10">
        <v>-2368411</v>
      </c>
      <c r="E52" s="10">
        <v>12125340</v>
      </c>
      <c r="F52" s="10">
        <v>6898051</v>
      </c>
      <c r="G52" s="10">
        <v>-183471441</v>
      </c>
      <c r="H52" s="10">
        <v>348798</v>
      </c>
      <c r="I52" s="10">
        <v>419</v>
      </c>
      <c r="J52" s="10">
        <v>-8729</v>
      </c>
      <c r="K52" s="10">
        <v>-47514</v>
      </c>
      <c r="L52" s="11">
        <f t="shared" si="1"/>
        <v>-56243</v>
      </c>
    </row>
    <row r="53" spans="1:12" ht="15.75" customHeight="1">
      <c r="A53" s="8" t="s">
        <v>123</v>
      </c>
      <c r="B53" s="9" t="s">
        <v>124</v>
      </c>
      <c r="C53" s="10">
        <v>2952179</v>
      </c>
      <c r="D53" s="10">
        <v>10806940</v>
      </c>
      <c r="E53" s="10">
        <v>34370143</v>
      </c>
      <c r="F53" s="10">
        <v>56511293</v>
      </c>
      <c r="G53" s="10">
        <v>70178000</v>
      </c>
      <c r="H53" s="10">
        <v>544443</v>
      </c>
      <c r="I53" s="10">
        <v>71652</v>
      </c>
      <c r="J53" s="10">
        <v>86818</v>
      </c>
      <c r="K53" s="10">
        <v>144318</v>
      </c>
      <c r="L53" s="11">
        <f t="shared" si="1"/>
        <v>231136</v>
      </c>
    </row>
    <row r="54" spans="1:12" ht="15.75" customHeight="1">
      <c r="A54" s="8" t="s">
        <v>125</v>
      </c>
      <c r="B54" s="9" t="s">
        <v>126</v>
      </c>
      <c r="C54" s="10">
        <v>-3096269</v>
      </c>
      <c r="D54" s="10">
        <v>-5365108</v>
      </c>
      <c r="E54" s="10">
        <v>-14451744</v>
      </c>
      <c r="F54" s="10">
        <v>-21130923</v>
      </c>
      <c r="G54" s="10">
        <v>-44126149</v>
      </c>
      <c r="H54" s="10">
        <v>-235498</v>
      </c>
      <c r="I54" s="10">
        <v>-24043</v>
      </c>
      <c r="J54" s="10">
        <v>-28235</v>
      </c>
      <c r="K54" s="10">
        <v>-46546</v>
      </c>
      <c r="L54" s="11">
        <f t="shared" si="1"/>
        <v>-74781</v>
      </c>
    </row>
    <row r="55" spans="1:12" ht="15.75" customHeight="1">
      <c r="A55" s="8" t="s">
        <v>127</v>
      </c>
      <c r="B55" s="9" t="s">
        <v>128</v>
      </c>
      <c r="C55" s="10">
        <v>0</v>
      </c>
      <c r="D55" s="10">
        <v>0</v>
      </c>
      <c r="E55" s="10">
        <v>0</v>
      </c>
      <c r="F55" s="10">
        <v>35380370</v>
      </c>
      <c r="G55" s="10">
        <v>26051851</v>
      </c>
      <c r="H55" s="10">
        <v>308945</v>
      </c>
      <c r="I55" s="10">
        <v>47609</v>
      </c>
      <c r="J55" s="10">
        <v>58583</v>
      </c>
      <c r="K55" s="10">
        <v>97772</v>
      </c>
      <c r="L55" s="11">
        <f t="shared" si="1"/>
        <v>156355</v>
      </c>
    </row>
    <row r="56" spans="1:12" ht="15.75" customHeight="1">
      <c r="A56" s="8" t="s">
        <v>129</v>
      </c>
      <c r="B56" s="9" t="s">
        <v>130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f t="shared" si="1"/>
        <v>0</v>
      </c>
    </row>
    <row r="57" spans="1:12" ht="15.75" customHeight="1">
      <c r="A57" s="8" t="s">
        <v>131</v>
      </c>
      <c r="B57" s="9" t="s">
        <v>132</v>
      </c>
      <c r="C57" s="10">
        <v>-144090</v>
      </c>
      <c r="D57" s="10">
        <v>5441832</v>
      </c>
      <c r="E57" s="10">
        <v>19918399</v>
      </c>
      <c r="F57" s="10">
        <v>35380370</v>
      </c>
      <c r="G57" s="10">
        <v>26051851</v>
      </c>
      <c r="H57" s="10">
        <v>308945</v>
      </c>
      <c r="I57" s="10">
        <v>47609</v>
      </c>
      <c r="J57" s="10">
        <v>58583</v>
      </c>
      <c r="K57" s="10">
        <v>97772</v>
      </c>
      <c r="L57" s="11">
        <f t="shared" si="1"/>
        <v>156355</v>
      </c>
    </row>
    <row r="58" spans="1:12" ht="15.75" customHeight="1">
      <c r="A58" s="8" t="s">
        <v>133</v>
      </c>
      <c r="B58" s="9" t="s">
        <v>134</v>
      </c>
      <c r="C58" s="10">
        <v>-396359</v>
      </c>
      <c r="D58" s="10">
        <v>-201595</v>
      </c>
      <c r="E58" s="10">
        <v>-12623526</v>
      </c>
      <c r="F58" s="10">
        <v>-7957918</v>
      </c>
      <c r="G58" s="10">
        <v>107154048</v>
      </c>
      <c r="H58" s="10">
        <v>-359739</v>
      </c>
      <c r="I58" s="10">
        <v>2885</v>
      </c>
      <c r="J58" s="10">
        <v>38489</v>
      </c>
      <c r="K58" s="10">
        <v>81648</v>
      </c>
      <c r="L58" s="11">
        <f t="shared" si="1"/>
        <v>120137</v>
      </c>
    </row>
    <row r="59" spans="1:12" ht="15.75" customHeight="1">
      <c r="A59" s="8" t="s">
        <v>135</v>
      </c>
      <c r="B59" s="9" t="s">
        <v>136</v>
      </c>
      <c r="C59" s="10">
        <v>-540449</v>
      </c>
      <c r="D59" s="10">
        <v>5240237</v>
      </c>
      <c r="E59" s="10">
        <v>7294873</v>
      </c>
      <c r="F59" s="10">
        <v>27422452</v>
      </c>
      <c r="G59" s="10">
        <v>133205899</v>
      </c>
      <c r="H59" s="10">
        <v>-50794</v>
      </c>
      <c r="I59" s="10">
        <v>50494</v>
      </c>
      <c r="J59" s="10">
        <v>97072</v>
      </c>
      <c r="K59" s="10">
        <v>179420</v>
      </c>
      <c r="L59" s="11">
        <f t="shared" si="1"/>
        <v>276492</v>
      </c>
    </row>
    <row r="60" spans="1:12" ht="15.75" customHeight="1">
      <c r="A60" s="8" t="s">
        <v>137</v>
      </c>
      <c r="B60" s="9" t="s">
        <v>138</v>
      </c>
      <c r="C60" s="10">
        <v>13106058</v>
      </c>
      <c r="D60" s="10">
        <v>21702116</v>
      </c>
      <c r="E60" s="10">
        <v>17375046</v>
      </c>
      <c r="F60" s="10">
        <v>51504364</v>
      </c>
      <c r="G60" s="10">
        <v>209271656</v>
      </c>
      <c r="H60" s="10">
        <v>214593</v>
      </c>
      <c r="I60" s="10">
        <v>26417</v>
      </c>
      <c r="J60" s="10">
        <v>97213</v>
      </c>
      <c r="K60" s="10">
        <v>236557</v>
      </c>
      <c r="L60" s="11">
        <f t="shared" si="1"/>
        <v>333770</v>
      </c>
    </row>
    <row r="61" spans="1:12" ht="15.75" customHeight="1">
      <c r="A61" s="8" t="s">
        <v>139</v>
      </c>
      <c r="B61" s="9" t="s">
        <v>140</v>
      </c>
      <c r="C61" s="10">
        <v>-3577021</v>
      </c>
      <c r="D61" s="10">
        <v>-2963518</v>
      </c>
      <c r="E61" s="10">
        <v>-6039424</v>
      </c>
      <c r="F61" s="10">
        <v>-11492011</v>
      </c>
      <c r="G61" s="10">
        <v>-114390855</v>
      </c>
      <c r="H61" s="10">
        <v>-178890</v>
      </c>
      <c r="I61" s="10">
        <v>-41915</v>
      </c>
      <c r="J61" s="10">
        <v>-64478</v>
      </c>
      <c r="K61" s="10">
        <v>-127468</v>
      </c>
      <c r="L61" s="11">
        <f t="shared" si="1"/>
        <v>-191946</v>
      </c>
    </row>
    <row r="62" spans="1:12" ht="15.75" customHeight="1">
      <c r="A62" s="8" t="s">
        <v>141</v>
      </c>
      <c r="B62" s="9" t="s">
        <v>142</v>
      </c>
      <c r="C62" s="10">
        <v>-6623375</v>
      </c>
      <c r="D62" s="10">
        <v>-17861331</v>
      </c>
      <c r="E62" s="10">
        <v>-9624914</v>
      </c>
      <c r="F62" s="10">
        <v>-47377475</v>
      </c>
      <c r="G62" s="10">
        <v>-82644503</v>
      </c>
      <c r="H62" s="10">
        <v>36907</v>
      </c>
      <c r="I62" s="10">
        <v>31080</v>
      </c>
      <c r="J62" s="10">
        <v>-21533</v>
      </c>
      <c r="K62" s="10">
        <v>-76896</v>
      </c>
      <c r="L62" s="11">
        <f t="shared" si="1"/>
        <v>-98429</v>
      </c>
    </row>
    <row r="63" spans="1:12" ht="15.75" customHeight="1">
      <c r="A63" s="8" t="s">
        <v>143</v>
      </c>
      <c r="B63" s="9" t="s">
        <v>144</v>
      </c>
      <c r="C63" s="10">
        <v>2905662</v>
      </c>
      <c r="D63" s="10">
        <v>877267</v>
      </c>
      <c r="E63" s="10">
        <v>1710708</v>
      </c>
      <c r="F63" s="10">
        <v>-7365122</v>
      </c>
      <c r="G63" s="10">
        <v>12236298</v>
      </c>
      <c r="H63" s="10">
        <v>72610</v>
      </c>
      <c r="I63" s="10">
        <v>15582</v>
      </c>
      <c r="J63" s="10">
        <v>11202</v>
      </c>
      <c r="K63" s="10">
        <v>32193</v>
      </c>
      <c r="L63" s="11">
        <f t="shared" si="1"/>
        <v>43395</v>
      </c>
    </row>
    <row r="64" spans="1:12" ht="15.75" customHeight="1">
      <c r="A64" s="8" t="s">
        <v>145</v>
      </c>
      <c r="B64" s="9" t="s">
        <v>146</v>
      </c>
      <c r="C64" s="10">
        <v>-0.02</v>
      </c>
      <c r="D64" s="10">
        <v>0.06</v>
      </c>
      <c r="E64" s="10">
        <v>0.26</v>
      </c>
      <c r="F64" s="10">
        <v>0.46</v>
      </c>
      <c r="G64" s="10">
        <v>7.0000000000000007E-2</v>
      </c>
      <c r="H64" s="10">
        <v>0</v>
      </c>
      <c r="I64" s="10">
        <v>0</v>
      </c>
      <c r="J64" s="10">
        <v>0</v>
      </c>
      <c r="K64" s="10">
        <v>0</v>
      </c>
      <c r="L64" s="11">
        <f t="shared" ref="L64:L66" si="2">K64</f>
        <v>0</v>
      </c>
    </row>
    <row r="65" spans="1:12" ht="15.75" customHeight="1">
      <c r="A65" s="8" t="s">
        <v>147</v>
      </c>
      <c r="B65" s="9" t="s">
        <v>148</v>
      </c>
      <c r="C65" s="10">
        <v>-0.02</v>
      </c>
      <c r="D65" s="10">
        <v>0.06</v>
      </c>
      <c r="E65" s="10">
        <v>0.26</v>
      </c>
      <c r="F65" s="10">
        <v>0.46</v>
      </c>
      <c r="G65" s="10">
        <v>7.0000000000000007E-2</v>
      </c>
      <c r="H65" s="10">
        <v>0</v>
      </c>
      <c r="I65" s="10">
        <v>0</v>
      </c>
      <c r="J65" s="10">
        <v>0</v>
      </c>
      <c r="K65" s="10">
        <v>0</v>
      </c>
      <c r="L65" s="11">
        <f t="shared" si="2"/>
        <v>0</v>
      </c>
    </row>
    <row r="66" spans="1:12" ht="15.75" customHeight="1">
      <c r="A66" s="8" t="s">
        <v>149</v>
      </c>
      <c r="B66" s="9" t="s">
        <v>150</v>
      </c>
      <c r="C66" s="10">
        <v>31444737</v>
      </c>
      <c r="D66" s="10">
        <v>40720271</v>
      </c>
      <c r="E66" s="10">
        <v>65971538</v>
      </c>
      <c r="F66" s="10">
        <v>141917035</v>
      </c>
      <c r="G66" s="10">
        <v>489343074</v>
      </c>
      <c r="H66" s="10">
        <v>1226060</v>
      </c>
      <c r="I66" s="10">
        <v>1226828</v>
      </c>
      <c r="J66" s="10">
        <v>1321121</v>
      </c>
      <c r="K66" s="10">
        <v>1410449</v>
      </c>
      <c r="L66" s="11">
        <f t="shared" si="2"/>
        <v>1410449</v>
      </c>
    </row>
    <row r="67" spans="1:12" ht="15.75" customHeight="1">
      <c r="A67" s="8" t="s">
        <v>151</v>
      </c>
      <c r="B67" s="9" t="s">
        <v>152</v>
      </c>
      <c r="C67" s="10">
        <v>6549701</v>
      </c>
      <c r="D67" s="10">
        <v>18161617</v>
      </c>
      <c r="E67" s="10">
        <v>22047368</v>
      </c>
      <c r="F67" s="10">
        <v>42428549</v>
      </c>
      <c r="G67" s="10">
        <v>108172387</v>
      </c>
      <c r="H67" s="10">
        <v>209251</v>
      </c>
      <c r="I67" s="10">
        <v>79965</v>
      </c>
      <c r="J67" s="10">
        <v>127298</v>
      </c>
      <c r="K67" s="10">
        <v>237574</v>
      </c>
      <c r="L67" s="11">
        <f t="shared" ref="L67:L68" si="3">J67+K67</f>
        <v>364872</v>
      </c>
    </row>
    <row r="68" spans="1:12" ht="15.75" customHeight="1">
      <c r="A68" s="8" t="s">
        <v>153</v>
      </c>
      <c r="B68" s="9" t="s">
        <v>154</v>
      </c>
      <c r="C68" s="10">
        <v>11048509</v>
      </c>
      <c r="D68" s="10">
        <v>23221302</v>
      </c>
      <c r="E68" s="10">
        <v>30160874</v>
      </c>
      <c r="F68" s="10">
        <v>59008392</v>
      </c>
      <c r="G68" s="10">
        <v>168159125.78</v>
      </c>
      <c r="H68" s="10">
        <v>318358.24</v>
      </c>
      <c r="I68" s="10">
        <v>100270.01</v>
      </c>
      <c r="J68" s="10">
        <v>175682.46</v>
      </c>
      <c r="K68" s="10">
        <v>317882.77</v>
      </c>
      <c r="L68" s="11">
        <f t="shared" si="3"/>
        <v>493565.23</v>
      </c>
    </row>
    <row r="69" spans="1:12" ht="15.75" customHeight="1">
      <c r="A69" s="8" t="s">
        <v>155</v>
      </c>
      <c r="B69" s="9" t="s">
        <v>156</v>
      </c>
      <c r="C69" s="10">
        <v>16564312</v>
      </c>
      <c r="D69" s="10">
        <v>28175955</v>
      </c>
      <c r="E69" s="10">
        <v>46803876</v>
      </c>
      <c r="F69" s="10">
        <v>55710453</v>
      </c>
      <c r="G69" s="10">
        <v>285398020</v>
      </c>
      <c r="H69" s="10">
        <v>355316</v>
      </c>
      <c r="I69" s="10">
        <v>386731</v>
      </c>
      <c r="J69" s="10">
        <v>469833</v>
      </c>
      <c r="K69" s="10">
        <v>857035</v>
      </c>
      <c r="L69" s="11">
        <f t="shared" ref="L69:L84" si="4">K69</f>
        <v>857035</v>
      </c>
    </row>
    <row r="70" spans="1:12" ht="15.75" customHeight="1">
      <c r="A70" s="8" t="s">
        <v>157</v>
      </c>
      <c r="B70" s="9" t="s">
        <v>158</v>
      </c>
      <c r="C70" s="12">
        <v>1.42</v>
      </c>
      <c r="D70" s="12">
        <v>1.56</v>
      </c>
      <c r="E70" s="12">
        <v>1.55</v>
      </c>
      <c r="F70" s="12">
        <v>1.28</v>
      </c>
      <c r="G70" s="12">
        <v>1.4</v>
      </c>
      <c r="H70" s="12">
        <v>1.24</v>
      </c>
      <c r="I70" s="12">
        <v>1.23</v>
      </c>
      <c r="J70" s="12">
        <v>1.26</v>
      </c>
      <c r="K70" s="12">
        <v>1.51</v>
      </c>
      <c r="L70" s="13">
        <f t="shared" si="4"/>
        <v>1.51</v>
      </c>
    </row>
    <row r="71" spans="1:12" ht="15.75" customHeight="1">
      <c r="A71" s="8" t="s">
        <v>159</v>
      </c>
      <c r="B71" s="9" t="s">
        <v>160</v>
      </c>
      <c r="C71" s="12">
        <v>0.37</v>
      </c>
      <c r="D71" s="12">
        <v>0.41</v>
      </c>
      <c r="E71" s="12">
        <v>0.44</v>
      </c>
      <c r="F71" s="12">
        <v>0.53</v>
      </c>
      <c r="G71" s="12">
        <v>0.5</v>
      </c>
      <c r="H71" s="12">
        <v>0.59</v>
      </c>
      <c r="I71" s="12">
        <v>0.57999999999999996</v>
      </c>
      <c r="J71" s="12">
        <v>0.56999999999999995</v>
      </c>
      <c r="K71" s="12">
        <v>0.56999999999999995</v>
      </c>
      <c r="L71" s="13">
        <f t="shared" si="4"/>
        <v>0.56999999999999995</v>
      </c>
    </row>
    <row r="72" spans="1:12" ht="15.75" customHeight="1">
      <c r="A72" s="8" t="s">
        <v>161</v>
      </c>
      <c r="B72" s="9" t="s">
        <v>162</v>
      </c>
      <c r="C72" s="12">
        <v>0.5</v>
      </c>
      <c r="D72" s="12">
        <v>0.48</v>
      </c>
      <c r="E72" s="12">
        <v>0.45</v>
      </c>
      <c r="F72" s="12">
        <v>0.43</v>
      </c>
      <c r="G72" s="12">
        <v>0.41</v>
      </c>
      <c r="H72" s="12">
        <v>0.41</v>
      </c>
      <c r="I72" s="12">
        <v>0.39</v>
      </c>
      <c r="J72" s="12">
        <v>0.4</v>
      </c>
      <c r="K72" s="12">
        <v>0.4</v>
      </c>
      <c r="L72" s="13">
        <f t="shared" si="4"/>
        <v>0.4</v>
      </c>
    </row>
    <row r="73" spans="1:12" ht="15.75" customHeight="1">
      <c r="A73" s="8" t="s">
        <v>163</v>
      </c>
      <c r="B73" s="9" t="s">
        <v>164</v>
      </c>
      <c r="C73" s="12">
        <v>0.1</v>
      </c>
      <c r="D73" s="12">
        <v>0.26</v>
      </c>
      <c r="E73" s="12">
        <v>0.5</v>
      </c>
      <c r="F73" s="12">
        <v>0.24</v>
      </c>
      <c r="G73" s="12">
        <v>0.05</v>
      </c>
      <c r="H73" s="12">
        <v>0.26</v>
      </c>
      <c r="I73" s="12">
        <v>0.04</v>
      </c>
      <c r="J73" s="12">
        <v>0.04</v>
      </c>
      <c r="K73" s="12">
        <v>7.0000000000000007E-2</v>
      </c>
      <c r="L73" s="13">
        <f t="shared" si="4"/>
        <v>7.0000000000000007E-2</v>
      </c>
    </row>
    <row r="74" spans="1:12" ht="15.75" customHeight="1">
      <c r="A74" s="8" t="s">
        <v>165</v>
      </c>
      <c r="B74" s="9" t="s">
        <v>166</v>
      </c>
      <c r="C74" s="12">
        <v>0.03</v>
      </c>
      <c r="D74" s="12">
        <v>7.0000000000000007E-2</v>
      </c>
      <c r="E74" s="12">
        <v>0.14000000000000001</v>
      </c>
      <c r="F74" s="12">
        <v>0.08</v>
      </c>
      <c r="G74" s="12">
        <v>0.02</v>
      </c>
      <c r="H74" s="12">
        <v>0.1</v>
      </c>
      <c r="I74" s="12">
        <v>0.01</v>
      </c>
      <c r="J74" s="12">
        <v>0.02</v>
      </c>
      <c r="K74" s="12">
        <v>0.02</v>
      </c>
      <c r="L74" s="13">
        <f t="shared" si="4"/>
        <v>0.02</v>
      </c>
    </row>
    <row r="75" spans="1:12" ht="15.75" customHeight="1">
      <c r="A75" s="8" t="s">
        <v>167</v>
      </c>
      <c r="B75" s="9" t="s">
        <v>168</v>
      </c>
      <c r="C75" s="12">
        <v>2.71</v>
      </c>
      <c r="D75" s="12">
        <v>2.4500000000000002</v>
      </c>
      <c r="E75" s="12">
        <v>2.27</v>
      </c>
      <c r="F75" s="12">
        <v>1.88</v>
      </c>
      <c r="G75" s="12">
        <v>2.0099999999999998</v>
      </c>
      <c r="H75" s="12">
        <v>1.7</v>
      </c>
      <c r="I75" s="12">
        <v>1.73</v>
      </c>
      <c r="J75" s="12">
        <v>1.75</v>
      </c>
      <c r="K75" s="12">
        <v>1.75</v>
      </c>
      <c r="L75" s="13">
        <f t="shared" si="4"/>
        <v>1.75</v>
      </c>
    </row>
    <row r="76" spans="1:12" ht="15.75" customHeight="1">
      <c r="A76" s="8" t="s">
        <v>169</v>
      </c>
      <c r="B76" s="9" t="s">
        <v>170</v>
      </c>
      <c r="C76" s="12">
        <v>1.3</v>
      </c>
      <c r="D76" s="12">
        <v>1.1499999999999999</v>
      </c>
      <c r="E76" s="12">
        <v>1.17</v>
      </c>
      <c r="F76" s="12">
        <v>1.29</v>
      </c>
      <c r="G76" s="12">
        <v>1.26</v>
      </c>
      <c r="H76" s="12">
        <v>1.29</v>
      </c>
      <c r="I76" s="12">
        <v>1.34</v>
      </c>
      <c r="J76" s="12">
        <v>1.3</v>
      </c>
      <c r="K76" s="12">
        <v>1.1000000000000001</v>
      </c>
      <c r="L76" s="13">
        <f t="shared" si="4"/>
        <v>1.1000000000000001</v>
      </c>
    </row>
    <row r="77" spans="1:12" ht="15.75" customHeight="1">
      <c r="A77" s="8" t="s">
        <v>171</v>
      </c>
      <c r="B77" s="9" t="s">
        <v>172</v>
      </c>
      <c r="C77" s="12">
        <v>3.71</v>
      </c>
      <c r="D77" s="12">
        <v>3.45</v>
      </c>
      <c r="E77" s="12">
        <v>3.27</v>
      </c>
      <c r="F77" s="12">
        <v>2.88</v>
      </c>
      <c r="G77" s="12">
        <v>3.01</v>
      </c>
      <c r="H77" s="12">
        <v>2.7</v>
      </c>
      <c r="I77" s="12">
        <v>2.73</v>
      </c>
      <c r="J77" s="12">
        <v>2.75</v>
      </c>
      <c r="K77" s="12">
        <v>2.75</v>
      </c>
      <c r="L77" s="13">
        <f t="shared" si="4"/>
        <v>2.75</v>
      </c>
    </row>
    <row r="78" spans="1:12" ht="15.75" customHeight="1">
      <c r="A78" s="8" t="s">
        <v>173</v>
      </c>
      <c r="B78" s="9" t="s">
        <v>174</v>
      </c>
      <c r="C78" s="12">
        <v>0</v>
      </c>
      <c r="D78" s="12">
        <v>0.03</v>
      </c>
      <c r="E78" s="12">
        <v>0.02</v>
      </c>
      <c r="F78" s="12">
        <v>0.04</v>
      </c>
      <c r="G78" s="12">
        <v>7.0000000000000007E-2</v>
      </c>
      <c r="H78" s="12">
        <v>-0.01</v>
      </c>
      <c r="I78" s="12">
        <v>0.05</v>
      </c>
      <c r="J78" s="12">
        <v>0.05</v>
      </c>
      <c r="K78" s="12">
        <v>0.05</v>
      </c>
      <c r="L78" s="13">
        <f t="shared" si="4"/>
        <v>0.05</v>
      </c>
    </row>
    <row r="79" spans="1:12" ht="15.75" customHeight="1">
      <c r="A79" s="8" t="s">
        <v>175</v>
      </c>
      <c r="B79" s="9" t="s">
        <v>176</v>
      </c>
      <c r="C79" s="12">
        <v>4.91</v>
      </c>
      <c r="D79" s="12">
        <v>2.75</v>
      </c>
      <c r="E79" s="12">
        <v>2.83</v>
      </c>
      <c r="F79" s="12">
        <v>2.1800000000000002</v>
      </c>
      <c r="G79" s="12">
        <v>3.09</v>
      </c>
      <c r="H79" s="12">
        <v>2.9</v>
      </c>
      <c r="I79" s="12">
        <v>10.58</v>
      </c>
      <c r="J79" s="12">
        <v>6.82</v>
      </c>
      <c r="K79" s="12">
        <v>4.33</v>
      </c>
      <c r="L79" s="13">
        <f t="shared" si="4"/>
        <v>4.33</v>
      </c>
    </row>
    <row r="80" spans="1:12" ht="15.75" customHeight="1">
      <c r="A80" s="8" t="s">
        <v>177</v>
      </c>
      <c r="B80" s="9" t="s">
        <v>178</v>
      </c>
      <c r="C80" s="12">
        <v>-2.37</v>
      </c>
      <c r="D80" s="12">
        <v>-4.21</v>
      </c>
      <c r="E80" s="12">
        <v>-11.79</v>
      </c>
      <c r="F80" s="12">
        <v>-248.57</v>
      </c>
      <c r="G80" s="12">
        <v>2.2999999999999998</v>
      </c>
      <c r="H80" s="12">
        <v>-4.22</v>
      </c>
      <c r="I80" s="12">
        <v>-3.63</v>
      </c>
      <c r="J80" s="12">
        <v>-2.73</v>
      </c>
      <c r="K80" s="12">
        <v>-3.24</v>
      </c>
      <c r="L80" s="13">
        <f t="shared" si="4"/>
        <v>-3.24</v>
      </c>
    </row>
    <row r="81" spans="1:12" ht="15.75" customHeight="1">
      <c r="A81" s="8" t="s">
        <v>179</v>
      </c>
      <c r="B81" s="9" t="s">
        <v>180</v>
      </c>
      <c r="C81" s="12">
        <v>0.1</v>
      </c>
      <c r="D81" s="12">
        <v>0.25</v>
      </c>
      <c r="E81" s="12">
        <v>0.47</v>
      </c>
      <c r="F81" s="12">
        <v>0.23</v>
      </c>
      <c r="G81" s="12">
        <v>0.05</v>
      </c>
      <c r="H81" s="12">
        <v>0.27</v>
      </c>
      <c r="I81" s="12">
        <v>0.04</v>
      </c>
      <c r="J81" s="12">
        <v>0.04</v>
      </c>
      <c r="K81" s="12">
        <v>0.06</v>
      </c>
      <c r="L81" s="13">
        <f t="shared" si="4"/>
        <v>0.06</v>
      </c>
    </row>
    <row r="82" spans="1:12" ht="15.75" customHeight="1">
      <c r="A82" s="8" t="s">
        <v>181</v>
      </c>
      <c r="B82" s="9" t="s">
        <v>182</v>
      </c>
      <c r="C82" s="12" t="s">
        <v>183</v>
      </c>
      <c r="D82" s="12" t="s">
        <v>183</v>
      </c>
      <c r="E82" s="12" t="s">
        <v>183</v>
      </c>
      <c r="F82" s="12">
        <v>0.65</v>
      </c>
      <c r="G82" s="12">
        <v>0.8</v>
      </c>
      <c r="H82" s="12">
        <v>0.69</v>
      </c>
      <c r="I82" s="12">
        <v>0.72</v>
      </c>
      <c r="J82" s="12">
        <v>0.72</v>
      </c>
      <c r="K82" s="12">
        <v>0.89</v>
      </c>
      <c r="L82" s="13">
        <f t="shared" si="4"/>
        <v>0.89</v>
      </c>
    </row>
    <row r="83" spans="1:12" ht="15.75" customHeight="1">
      <c r="A83" s="8" t="s">
        <v>184</v>
      </c>
      <c r="B83" s="9" t="s">
        <v>185</v>
      </c>
      <c r="C83" s="12" t="s">
        <v>183</v>
      </c>
      <c r="D83" s="12" t="s">
        <v>183</v>
      </c>
      <c r="E83" s="12" t="s">
        <v>183</v>
      </c>
      <c r="F83" s="12">
        <v>-178.73</v>
      </c>
      <c r="G83" s="12">
        <v>1.48</v>
      </c>
      <c r="H83" s="12">
        <v>-2.77</v>
      </c>
      <c r="I83" s="12">
        <v>-2.9</v>
      </c>
      <c r="J83" s="12">
        <v>-1.98</v>
      </c>
      <c r="K83" s="12">
        <v>-2.42</v>
      </c>
      <c r="L83" s="13">
        <f t="shared" si="4"/>
        <v>-2.42</v>
      </c>
    </row>
    <row r="84" spans="1:12" ht="15.75" customHeight="1">
      <c r="A84" s="8" t="s">
        <v>186</v>
      </c>
      <c r="B84" s="9" t="s">
        <v>187</v>
      </c>
      <c r="C84" s="12" t="s">
        <v>183</v>
      </c>
      <c r="D84" s="12" t="s">
        <v>183</v>
      </c>
      <c r="E84" s="12" t="s">
        <v>183</v>
      </c>
      <c r="F84" s="12">
        <v>1.38</v>
      </c>
      <c r="G84" s="12">
        <v>1.1299999999999999</v>
      </c>
      <c r="H84" s="12">
        <v>1.28</v>
      </c>
      <c r="I84" s="12">
        <v>0.28999999999999998</v>
      </c>
      <c r="J84" s="12">
        <v>0.56999999999999995</v>
      </c>
      <c r="K84" s="12">
        <v>0.83</v>
      </c>
      <c r="L84" s="13">
        <f t="shared" si="4"/>
        <v>0.83</v>
      </c>
    </row>
    <row r="85" spans="1:12" ht="15.75" customHeight="1"/>
    <row r="86" spans="1:12" ht="15.75" customHeight="1">
      <c r="B86" s="14"/>
      <c r="L86" s="15"/>
    </row>
    <row r="87" spans="1:12" ht="15.75" customHeight="1"/>
    <row r="88" spans="1:12" ht="15.75" customHeight="1"/>
    <row r="89" spans="1:12" ht="15.75" customHeight="1"/>
    <row r="90" spans="1:12" ht="15.75" customHeight="1"/>
    <row r="91" spans="1:12" ht="15.75" customHeight="1"/>
    <row r="92" spans="1:12" ht="15.75" customHeight="1"/>
    <row r="93" spans="1:12" ht="15.75" customHeight="1"/>
    <row r="94" spans="1:12" ht="15.75" customHeight="1"/>
    <row r="95" spans="1:12" ht="15.75" customHeight="1"/>
    <row r="96" spans="1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38"/>
  <sheetViews>
    <sheetView workbookViewId="0"/>
  </sheetViews>
  <sheetFormatPr baseColWidth="10" defaultColWidth="14.42578125" defaultRowHeight="15" customHeight="1"/>
  <cols>
    <col min="1" max="1" width="55.85546875" customWidth="1"/>
    <col min="2" max="2" width="18.85546875" customWidth="1"/>
    <col min="3" max="3" width="26.5703125" customWidth="1"/>
    <col min="4" max="4" width="25.7109375" customWidth="1"/>
    <col min="5" max="5" width="34" customWidth="1"/>
    <col min="6" max="11" width="14.42578125" customWidth="1"/>
  </cols>
  <sheetData>
    <row r="1" spans="1:4">
      <c r="A1" s="16" t="s">
        <v>188</v>
      </c>
      <c r="B1" s="16" t="s">
        <v>50</v>
      </c>
      <c r="C1" s="16" t="s">
        <v>189</v>
      </c>
    </row>
    <row r="2" spans="1:4">
      <c r="A2" s="17">
        <v>2019</v>
      </c>
      <c r="B2" s="18" t="s">
        <v>190</v>
      </c>
      <c r="C2" s="18" t="s">
        <v>191</v>
      </c>
    </row>
    <row r="3" spans="1:4">
      <c r="A3" s="17">
        <v>2020</v>
      </c>
      <c r="B3" s="18" t="s">
        <v>192</v>
      </c>
      <c r="C3" s="18" t="s">
        <v>193</v>
      </c>
    </row>
    <row r="4" spans="1:4">
      <c r="A4" s="17">
        <v>2021</v>
      </c>
      <c r="B4" s="18" t="s">
        <v>194</v>
      </c>
      <c r="C4" s="18" t="s">
        <v>195</v>
      </c>
    </row>
    <row r="5" spans="1:4">
      <c r="A5" s="17">
        <v>2022</v>
      </c>
      <c r="B5" s="18" t="s">
        <v>196</v>
      </c>
      <c r="C5" s="18" t="s">
        <v>197</v>
      </c>
    </row>
    <row r="6" spans="1:4">
      <c r="A6" s="17">
        <v>2023</v>
      </c>
      <c r="B6" s="18" t="s">
        <v>198</v>
      </c>
      <c r="C6" s="18" t="s">
        <v>199</v>
      </c>
    </row>
    <row r="7" spans="1:4">
      <c r="A7" s="17">
        <v>2024</v>
      </c>
      <c r="B7" s="18" t="s">
        <v>200</v>
      </c>
      <c r="C7" s="18" t="s">
        <v>201</v>
      </c>
    </row>
    <row r="8" spans="1:4">
      <c r="A8" s="17" t="s">
        <v>8</v>
      </c>
      <c r="B8" s="18" t="s">
        <v>202</v>
      </c>
      <c r="C8" s="18" t="s">
        <v>203</v>
      </c>
    </row>
    <row r="9" spans="1:4">
      <c r="A9" s="17" t="s">
        <v>9</v>
      </c>
      <c r="B9" s="18" t="s">
        <v>204</v>
      </c>
      <c r="C9" s="18" t="s">
        <v>205</v>
      </c>
    </row>
    <row r="10" spans="1:4">
      <c r="A10" s="17" t="s">
        <v>10</v>
      </c>
      <c r="B10" s="18" t="s">
        <v>206</v>
      </c>
      <c r="C10" s="18" t="s">
        <v>207</v>
      </c>
    </row>
    <row r="11" spans="1:4">
      <c r="A11" s="17" t="s">
        <v>11</v>
      </c>
      <c r="B11" s="18" t="s">
        <v>206</v>
      </c>
      <c r="C11" s="18" t="s">
        <v>208</v>
      </c>
    </row>
    <row r="14" spans="1:4">
      <c r="A14" s="19" t="s">
        <v>188</v>
      </c>
      <c r="B14" s="20" t="s">
        <v>209</v>
      </c>
      <c r="C14" s="21" t="s">
        <v>50</v>
      </c>
    </row>
    <row r="15" spans="1:4">
      <c r="A15" s="22">
        <v>2019</v>
      </c>
      <c r="B15" s="23" t="s">
        <v>210</v>
      </c>
      <c r="C15" s="24" t="s">
        <v>190</v>
      </c>
    </row>
    <row r="16" spans="1:4">
      <c r="A16" s="25">
        <v>2020</v>
      </c>
      <c r="B16" s="26" t="s">
        <v>211</v>
      </c>
      <c r="C16" s="27" t="s">
        <v>192</v>
      </c>
      <c r="D16" s="9"/>
    </row>
    <row r="17" spans="1:4">
      <c r="A17" s="22">
        <v>2021</v>
      </c>
      <c r="B17" s="23" t="s">
        <v>212</v>
      </c>
      <c r="C17" s="24" t="s">
        <v>194</v>
      </c>
      <c r="D17" s="9"/>
    </row>
    <row r="18" spans="1:4">
      <c r="A18" s="25">
        <v>2022</v>
      </c>
      <c r="B18" s="26" t="s">
        <v>213</v>
      </c>
      <c r="C18" s="27" t="s">
        <v>196</v>
      </c>
      <c r="D18" s="9"/>
    </row>
    <row r="19" spans="1:4">
      <c r="A19" s="22">
        <v>2023</v>
      </c>
      <c r="B19" s="23" t="s">
        <v>214</v>
      </c>
      <c r="C19" s="24" t="s">
        <v>198</v>
      </c>
      <c r="D19" s="9"/>
    </row>
    <row r="20" spans="1:4">
      <c r="A20" s="25">
        <v>2024</v>
      </c>
      <c r="B20" s="26" t="s">
        <v>215</v>
      </c>
      <c r="C20" s="27" t="s">
        <v>200</v>
      </c>
      <c r="D20" s="9"/>
    </row>
    <row r="21" spans="1:4">
      <c r="A21" s="22" t="s">
        <v>11</v>
      </c>
      <c r="B21" s="23" t="s">
        <v>216</v>
      </c>
      <c r="C21" s="24" t="s">
        <v>206</v>
      </c>
      <c r="D21" s="9"/>
    </row>
    <row r="23" spans="1:4">
      <c r="A23" s="28" t="s">
        <v>188</v>
      </c>
      <c r="B23" s="29" t="s">
        <v>168</v>
      </c>
      <c r="C23" s="29" t="s">
        <v>160</v>
      </c>
    </row>
    <row r="24" spans="1:4">
      <c r="A24" s="30">
        <v>2019</v>
      </c>
      <c r="B24" s="31">
        <v>2.71</v>
      </c>
      <c r="C24" s="31">
        <v>0.37</v>
      </c>
      <c r="D24" s="92"/>
    </row>
    <row r="25" spans="1:4">
      <c r="A25" s="30">
        <v>2020</v>
      </c>
      <c r="B25" s="31">
        <v>2.4500000000000002</v>
      </c>
      <c r="C25" s="31">
        <v>0.41</v>
      </c>
      <c r="D25" s="93"/>
    </row>
    <row r="26" spans="1:4">
      <c r="A26" s="30">
        <v>2021</v>
      </c>
      <c r="B26" s="31">
        <v>2.27</v>
      </c>
      <c r="C26" s="31">
        <v>0.44</v>
      </c>
      <c r="D26" s="93"/>
    </row>
    <row r="27" spans="1:4">
      <c r="A27" s="30">
        <v>2022</v>
      </c>
      <c r="B27" s="31">
        <v>1.88</v>
      </c>
      <c r="C27" s="31">
        <v>0.53</v>
      </c>
    </row>
    <row r="28" spans="1:4">
      <c r="A28" s="30">
        <v>2023</v>
      </c>
      <c r="B28" s="31">
        <v>2.0099999999999998</v>
      </c>
      <c r="C28" s="31">
        <v>0.5</v>
      </c>
    </row>
    <row r="29" spans="1:4">
      <c r="A29" s="30">
        <v>2024</v>
      </c>
      <c r="B29" s="31">
        <v>1.7</v>
      </c>
      <c r="C29" s="31">
        <v>0.59</v>
      </c>
    </row>
    <row r="30" spans="1:4">
      <c r="A30" s="32">
        <v>2025</v>
      </c>
      <c r="B30" s="31">
        <v>1.75</v>
      </c>
      <c r="C30" s="33">
        <v>0.56999999999999995</v>
      </c>
    </row>
    <row r="32" spans="1:4">
      <c r="A32" s="28" t="s">
        <v>217</v>
      </c>
      <c r="B32" s="34" t="s">
        <v>168</v>
      </c>
      <c r="C32" s="35" t="s">
        <v>160</v>
      </c>
    </row>
    <row r="33" spans="1:12">
      <c r="A33" s="30" t="s">
        <v>218</v>
      </c>
      <c r="B33" s="36">
        <v>2.48</v>
      </c>
      <c r="C33" s="37">
        <v>0.41</v>
      </c>
    </row>
    <row r="34" spans="1:12">
      <c r="A34" s="32" t="s">
        <v>219</v>
      </c>
      <c r="B34" s="38">
        <v>1.86</v>
      </c>
      <c r="C34" s="39">
        <v>0.54</v>
      </c>
    </row>
    <row r="37" spans="1:12">
      <c r="A37" s="9" t="s">
        <v>220</v>
      </c>
      <c r="B37" s="9" t="s">
        <v>221</v>
      </c>
      <c r="C37" s="9" t="s">
        <v>222</v>
      </c>
    </row>
    <row r="38" spans="1:12">
      <c r="A38" s="9" t="s">
        <v>2</v>
      </c>
      <c r="B38" s="40">
        <v>1.4248551373608709</v>
      </c>
      <c r="C38" s="40">
        <v>0.86724147735076673</v>
      </c>
      <c r="D38" s="41"/>
      <c r="E38" s="41"/>
      <c r="F38" s="41"/>
      <c r="G38" s="41"/>
      <c r="H38" s="41"/>
      <c r="I38" s="41"/>
      <c r="J38" s="41"/>
      <c r="K38" s="41"/>
      <c r="L38" s="41"/>
    </row>
    <row r="39" spans="1:12">
      <c r="A39" s="9" t="s">
        <v>3</v>
      </c>
      <c r="B39" s="40">
        <v>1.5599926582333075</v>
      </c>
      <c r="C39" s="40">
        <v>0.93671238112235844</v>
      </c>
    </row>
    <row r="40" spans="1:12">
      <c r="A40" s="9" t="s">
        <v>4</v>
      </c>
      <c r="B40" s="40">
        <v>1.5513625354808633</v>
      </c>
      <c r="C40" s="40">
        <v>0.89863637543270247</v>
      </c>
    </row>
    <row r="41" spans="1:12">
      <c r="A41" s="9" t="s">
        <v>5</v>
      </c>
      <c r="B41" s="40">
        <v>1.2754061341093577</v>
      </c>
      <c r="C41" s="40">
        <v>0.65363326180230885</v>
      </c>
    </row>
    <row r="42" spans="1:12">
      <c r="A42" s="9" t="s">
        <v>6</v>
      </c>
      <c r="B42" s="40">
        <v>1.401032046128257</v>
      </c>
      <c r="C42" s="40">
        <v>0.7964615696614471</v>
      </c>
    </row>
    <row r="43" spans="1:12">
      <c r="A43" s="9" t="s">
        <v>7</v>
      </c>
      <c r="B43" s="40">
        <v>1.2413997156054866</v>
      </c>
      <c r="C43" s="40">
        <v>0.68901738502438026</v>
      </c>
    </row>
    <row r="44" spans="1:12">
      <c r="A44" s="9">
        <v>2025</v>
      </c>
      <c r="B44" s="40">
        <v>1.5100909972318128</v>
      </c>
      <c r="C44" s="40">
        <v>0.88741733679093848</v>
      </c>
    </row>
    <row r="48" spans="1:12" ht="15" customHeight="1">
      <c r="C48" s="42"/>
    </row>
    <row r="54" spans="1:2">
      <c r="A54" s="9" t="s">
        <v>2</v>
      </c>
      <c r="B54" s="41">
        <v>548400.81764794048</v>
      </c>
    </row>
    <row r="55" spans="1:2">
      <c r="A55" s="9" t="s">
        <v>3</v>
      </c>
      <c r="B55" s="41">
        <v>685197.41378090391</v>
      </c>
    </row>
    <row r="56" spans="1:2">
      <c r="A56" s="9" t="s">
        <v>4</v>
      </c>
      <c r="B56" s="41">
        <v>754066.84213245963</v>
      </c>
    </row>
    <row r="57" spans="1:2">
      <c r="A57" s="9" t="s">
        <v>5</v>
      </c>
      <c r="B57" s="41">
        <v>460777.17889168207</v>
      </c>
    </row>
    <row r="58" spans="1:2">
      <c r="A58" s="9" t="s">
        <v>6</v>
      </c>
      <c r="B58" s="41">
        <v>758011.7870115994</v>
      </c>
    </row>
    <row r="59" spans="1:2">
      <c r="A59" s="9" t="s">
        <v>7</v>
      </c>
      <c r="B59" s="41">
        <v>433365.59057619865</v>
      </c>
    </row>
    <row r="60" spans="1:2">
      <c r="A60" s="9">
        <v>2025</v>
      </c>
      <c r="B60" s="41">
        <v>857035</v>
      </c>
    </row>
    <row r="68" spans="1:3">
      <c r="A68" s="9" t="s">
        <v>2</v>
      </c>
      <c r="B68" s="43">
        <v>0.33615498620465134</v>
      </c>
    </row>
    <row r="69" spans="1:3">
      <c r="A69" s="9" t="s">
        <v>3</v>
      </c>
      <c r="B69" s="43">
        <v>0.43132612996179165</v>
      </c>
    </row>
    <row r="70" spans="1:3">
      <c r="A70" s="9" t="s">
        <v>4</v>
      </c>
      <c r="B70" s="43">
        <v>0.20468282192390719</v>
      </c>
    </row>
    <row r="71" spans="1:3">
      <c r="A71" s="9" t="s">
        <v>5</v>
      </c>
      <c r="B71" s="43">
        <v>0.25461321915657686</v>
      </c>
    </row>
    <row r="72" spans="1:3">
      <c r="A72" s="9" t="s">
        <v>6</v>
      </c>
      <c r="B72" s="43">
        <v>0.29406174717795419</v>
      </c>
    </row>
    <row r="73" spans="1:3">
      <c r="A73" s="9" t="s">
        <v>7</v>
      </c>
      <c r="B73" s="43">
        <v>0.14579329152339937</v>
      </c>
    </row>
    <row r="74" spans="1:3">
      <c r="A74" s="9">
        <v>2025</v>
      </c>
      <c r="B74" s="43">
        <v>0.19865358141273365</v>
      </c>
    </row>
    <row r="80" spans="1:3">
      <c r="B80" s="9" t="s">
        <v>223</v>
      </c>
      <c r="C80" s="9" t="s">
        <v>224</v>
      </c>
    </row>
    <row r="81" spans="1:12">
      <c r="A81" s="9" t="s">
        <v>2</v>
      </c>
      <c r="B81" s="43">
        <v>-1.297241515715029E-3</v>
      </c>
      <c r="C81" s="43">
        <v>-4.8173789125782636E-3</v>
      </c>
      <c r="D81" s="43"/>
      <c r="E81" s="43"/>
      <c r="F81" s="43"/>
      <c r="G81" s="43"/>
      <c r="H81" s="43"/>
      <c r="I81" s="43"/>
      <c r="J81" s="43"/>
      <c r="K81" s="43"/>
      <c r="L81" s="43"/>
    </row>
    <row r="82" spans="1:12">
      <c r="A82" s="9" t="s">
        <v>3</v>
      </c>
      <c r="B82" s="43">
        <v>3.610823009734461E-2</v>
      </c>
      <c r="C82" s="43">
        <v>0.12450808407762883</v>
      </c>
    </row>
    <row r="83" spans="1:12">
      <c r="A83" s="9" t="s">
        <v>4</v>
      </c>
      <c r="B83" s="43">
        <v>8.359628689167313E-2</v>
      </c>
      <c r="C83" s="43">
        <v>0.27339694193843606</v>
      </c>
    </row>
    <row r="84" spans="1:12">
      <c r="A84" s="9" t="s">
        <v>5</v>
      </c>
      <c r="B84" s="43">
        <v>7.8151247102381763E-2</v>
      </c>
      <c r="C84" s="43">
        <v>0.22515322668691271</v>
      </c>
    </row>
    <row r="85" spans="1:12">
      <c r="A85" s="9" t="s">
        <v>6</v>
      </c>
      <c r="B85" s="43">
        <v>1.5382322902330704E-2</v>
      </c>
      <c r="C85" s="43">
        <v>4.6271238157105286E-2</v>
      </c>
    </row>
    <row r="86" spans="1:12">
      <c r="A86" s="9" t="s">
        <v>7</v>
      </c>
      <c r="B86" s="43">
        <v>0.10005388974494994</v>
      </c>
      <c r="C86" s="43">
        <v>0.26990039863261062</v>
      </c>
    </row>
    <row r="87" spans="1:12">
      <c r="A87" s="9">
        <v>2025</v>
      </c>
      <c r="B87" s="43">
        <v>3.7106202696147533E-2</v>
      </c>
      <c r="C87" s="43">
        <v>0.10214494253346634</v>
      </c>
    </row>
    <row r="96" spans="1:12">
      <c r="A96" s="44"/>
      <c r="B96" s="9" t="s">
        <v>225</v>
      </c>
      <c r="C96" s="9" t="s">
        <v>226</v>
      </c>
    </row>
    <row r="97" spans="1:12">
      <c r="A97" s="44" t="s">
        <v>2</v>
      </c>
      <c r="B97" s="9" t="s">
        <v>183</v>
      </c>
      <c r="C97" s="9" t="s">
        <v>183</v>
      </c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4" t="s">
        <v>3</v>
      </c>
      <c r="B98" s="43">
        <v>-3.4808761416332192E-2</v>
      </c>
      <c r="C98" s="43">
        <v>9.6148016793202756E-2</v>
      </c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4" t="s">
        <v>4</v>
      </c>
      <c r="B99" s="43">
        <v>0.12726081000215023</v>
      </c>
      <c r="C99" s="43">
        <v>2.3957519814707937E-3</v>
      </c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4" t="s">
        <v>5</v>
      </c>
      <c r="B100" s="43">
        <v>6.543865669584184E-2</v>
      </c>
      <c r="C100" s="43">
        <v>6.9867238671659365E-2</v>
      </c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4" t="s">
        <v>6</v>
      </c>
      <c r="B101" s="43">
        <v>-1.6092295069608433E-2</v>
      </c>
      <c r="C101" s="43">
        <v>-5.7027776024874736E-2</v>
      </c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4" t="s">
        <v>7</v>
      </c>
      <c r="B102" s="43">
        <v>-5.539061949199723E-2</v>
      </c>
      <c r="C102" s="43">
        <v>-2.7801134652916861E-2</v>
      </c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4">
        <v>2025</v>
      </c>
      <c r="B103" s="43">
        <v>0.61031572918610799</v>
      </c>
      <c r="C103" s="43">
        <v>0.59714047767305478</v>
      </c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D106" s="45"/>
      <c r="E106" s="45"/>
      <c r="F106" s="45"/>
      <c r="G106" s="45"/>
      <c r="H106" s="45"/>
      <c r="I106" s="45"/>
      <c r="J106" s="45"/>
      <c r="K106" s="45"/>
      <c r="L106" s="45"/>
    </row>
    <row r="121" spans="1:13">
      <c r="B121" s="9" t="s">
        <v>227</v>
      </c>
      <c r="C121" s="9" t="s">
        <v>228</v>
      </c>
    </row>
    <row r="122" spans="1:13">
      <c r="A122" s="44" t="s">
        <v>2</v>
      </c>
      <c r="B122" s="40">
        <v>1.2127950723656666</v>
      </c>
      <c r="C122" s="40">
        <v>1.6597344785744412</v>
      </c>
      <c r="D122" s="40"/>
      <c r="E122" s="40"/>
      <c r="F122" s="40"/>
      <c r="G122" s="40"/>
      <c r="H122" s="40"/>
      <c r="I122" s="40"/>
      <c r="J122" s="40"/>
      <c r="K122" s="40"/>
      <c r="L122" s="40"/>
      <c r="M122" s="40"/>
    </row>
    <row r="123" spans="1:13">
      <c r="A123" s="44" t="s">
        <v>3</v>
      </c>
      <c r="B123" s="40">
        <v>1.1745256070128836</v>
      </c>
      <c r="C123" s="40">
        <v>1.6542779930598475</v>
      </c>
    </row>
    <row r="124" spans="1:13">
      <c r="A124" s="44" t="s">
        <v>4</v>
      </c>
      <c r="B124" s="40">
        <v>1.2640592556619548</v>
      </c>
      <c r="C124" s="40">
        <v>1.8208047535020784</v>
      </c>
    </row>
    <row r="125" spans="1:13">
      <c r="A125" s="44" t="s">
        <v>5</v>
      </c>
      <c r="B125" s="40">
        <v>1.3807359035886115</v>
      </c>
      <c r="C125" s="40">
        <v>2.1147820238480621</v>
      </c>
    </row>
    <row r="126" spans="1:13">
      <c r="A126" s="44" t="s">
        <v>6</v>
      </c>
      <c r="B126" s="40">
        <v>1.1308475040477197</v>
      </c>
      <c r="C126" s="40">
        <v>1.693996495104243</v>
      </c>
    </row>
    <row r="127" spans="1:13">
      <c r="A127" s="44" t="s">
        <v>7</v>
      </c>
      <c r="B127" s="40">
        <v>1.2758837561929486</v>
      </c>
      <c r="C127" s="40">
        <v>2.0274866799476925</v>
      </c>
    </row>
    <row r="128" spans="1:13">
      <c r="A128" s="44">
        <v>2025</v>
      </c>
      <c r="B128" s="40">
        <v>1.3411902937929372</v>
      </c>
      <c r="C128" s="40">
        <v>2.1063723840374147</v>
      </c>
    </row>
    <row r="137" spans="1:12">
      <c r="A137" s="44"/>
      <c r="B137" s="46" t="s">
        <v>229</v>
      </c>
      <c r="C137" s="9" t="s">
        <v>230</v>
      </c>
      <c r="D137" s="43"/>
      <c r="E137" s="43"/>
      <c r="F137" s="43"/>
      <c r="G137" s="43"/>
      <c r="H137" s="43"/>
      <c r="I137" s="43"/>
      <c r="J137" s="43"/>
      <c r="K137" s="43"/>
      <c r="L137" s="43"/>
    </row>
    <row r="138" spans="1:12">
      <c r="A138" s="44" t="s">
        <v>2</v>
      </c>
      <c r="B138" s="9" t="s">
        <v>183</v>
      </c>
      <c r="C138" s="43">
        <v>-9.8000000000000004E-2</v>
      </c>
      <c r="D138" s="46"/>
      <c r="F138" s="46"/>
      <c r="H138" s="46"/>
    </row>
    <row r="139" spans="1:12">
      <c r="A139" s="44" t="s">
        <v>3</v>
      </c>
      <c r="B139" s="43">
        <v>-3.4808761416332192E-2</v>
      </c>
      <c r="C139" s="43">
        <v>8.0000000000000002E-3</v>
      </c>
      <c r="D139" s="46"/>
      <c r="F139" s="46"/>
      <c r="H139" s="46"/>
    </row>
    <row r="140" spans="1:12">
      <c r="A140" s="44" t="s">
        <v>4</v>
      </c>
      <c r="B140" s="43">
        <v>0.12726081000215023</v>
      </c>
      <c r="C140" s="43">
        <v>1.4999999999999999E-2</v>
      </c>
      <c r="D140" s="46"/>
      <c r="F140" s="46"/>
      <c r="H140" s="46"/>
    </row>
    <row r="141" spans="1:12">
      <c r="A141" s="44" t="s">
        <v>5</v>
      </c>
      <c r="B141" s="43">
        <v>6.543865669584184E-2</v>
      </c>
      <c r="C141" s="43">
        <v>1.6E-2</v>
      </c>
      <c r="D141" s="46"/>
      <c r="F141" s="46"/>
      <c r="H141" s="46"/>
    </row>
    <row r="142" spans="1:12">
      <c r="A142" s="44" t="s">
        <v>6</v>
      </c>
      <c r="B142" s="43">
        <v>-1.6092295069608433E-2</v>
      </c>
      <c r="C142" s="43">
        <v>8.9999999999999993E-3</v>
      </c>
      <c r="H142" s="46"/>
    </row>
    <row r="143" spans="1:12">
      <c r="A143" s="44" t="s">
        <v>7</v>
      </c>
      <c r="B143" s="43">
        <v>-5.539061949199723E-2</v>
      </c>
      <c r="C143" s="43">
        <v>-0.11</v>
      </c>
    </row>
    <row r="144" spans="1:12">
      <c r="A144" s="44">
        <v>2025</v>
      </c>
      <c r="B144" s="43">
        <v>0.61031572918610799</v>
      </c>
    </row>
    <row r="152" spans="1:5">
      <c r="B152" s="9" t="s">
        <v>231</v>
      </c>
      <c r="C152" s="9" t="s">
        <v>232</v>
      </c>
      <c r="D152" s="9" t="s">
        <v>233</v>
      </c>
      <c r="E152" s="9" t="s">
        <v>234</v>
      </c>
    </row>
    <row r="153" spans="1:5">
      <c r="A153" s="44" t="s">
        <v>2</v>
      </c>
      <c r="B153" s="46">
        <v>433907.12052159681</v>
      </c>
      <c r="C153" s="46">
        <v>-118425.76022136348</v>
      </c>
      <c r="D153" s="46">
        <v>-219282.53135952327</v>
      </c>
      <c r="E153" s="46">
        <v>96198.828940710009</v>
      </c>
    </row>
    <row r="154" spans="1:5">
      <c r="A154" s="44" t="s">
        <v>3</v>
      </c>
      <c r="B154" s="46">
        <v>527763.25617971679</v>
      </c>
      <c r="C154" s="46">
        <v>-72068.360035823323</v>
      </c>
      <c r="D154" s="46">
        <v>-434361.06452770403</v>
      </c>
      <c r="E154" s="46">
        <v>21333.831616189484</v>
      </c>
    </row>
    <row r="155" spans="1:5">
      <c r="A155" s="44" t="s">
        <v>4</v>
      </c>
      <c r="B155" s="46">
        <v>279932.92839948187</v>
      </c>
      <c r="C155" s="46">
        <v>-97302.398288103068</v>
      </c>
      <c r="D155" s="46">
        <v>-155068.96278796444</v>
      </c>
      <c r="E155" s="46">
        <v>27561.567323414325</v>
      </c>
    </row>
    <row r="156" spans="1:5">
      <c r="A156" s="44" t="s">
        <v>5</v>
      </c>
      <c r="B156" s="46">
        <v>425988.9170983822</v>
      </c>
      <c r="C156" s="46">
        <v>-95049.602421509291</v>
      </c>
      <c r="D156" s="46">
        <v>-391855.71284999605</v>
      </c>
      <c r="E156" s="46">
        <v>-60916.398173123176</v>
      </c>
    </row>
    <row r="157" spans="1:5">
      <c r="A157" s="44" t="s">
        <v>6</v>
      </c>
      <c r="B157" s="46">
        <v>555821.5923692697</v>
      </c>
      <c r="C157" s="46">
        <v>-303819.96489090822</v>
      </c>
      <c r="D157" s="46">
        <v>-219502.2495450931</v>
      </c>
      <c r="E157" s="46">
        <v>32499.377933268275</v>
      </c>
    </row>
    <row r="158" spans="1:5">
      <c r="A158" s="44" t="s">
        <v>7</v>
      </c>
      <c r="B158" s="46">
        <v>261731.02865764036</v>
      </c>
      <c r="C158" s="46">
        <v>-218185.41945247646</v>
      </c>
      <c r="D158" s="46">
        <v>45014.08282035077</v>
      </c>
      <c r="E158" s="46">
        <v>88559.692025514654</v>
      </c>
    </row>
    <row r="159" spans="1:5">
      <c r="A159" s="44">
        <v>2025</v>
      </c>
      <c r="B159" s="46">
        <v>333770</v>
      </c>
      <c r="C159" s="46">
        <v>-191946</v>
      </c>
      <c r="D159" s="46">
        <v>-98429</v>
      </c>
      <c r="E159" s="46">
        <v>43395</v>
      </c>
    </row>
    <row r="183" spans="1:2">
      <c r="A183" s="44" t="s">
        <v>2</v>
      </c>
      <c r="B183" s="40">
        <v>-2.2573285621325389E-2</v>
      </c>
    </row>
    <row r="184" spans="1:2">
      <c r="A184" s="44" t="s">
        <v>3</v>
      </c>
      <c r="B184" s="40">
        <v>0.70095947837929806</v>
      </c>
    </row>
    <row r="185" spans="1:2">
      <c r="A185" s="44" t="s">
        <v>4</v>
      </c>
      <c r="B185" s="40">
        <v>5.403400423811882</v>
      </c>
    </row>
    <row r="186" spans="1:2">
      <c r="A186" s="44" t="s">
        <v>5</v>
      </c>
      <c r="B186" s="40">
        <v>97.30760583718731</v>
      </c>
    </row>
    <row r="187" spans="1:2">
      <c r="A187" s="44" t="s">
        <v>6</v>
      </c>
      <c r="B187" s="40">
        <v>-0.2379153086285489</v>
      </c>
    </row>
    <row r="188" spans="1:2">
      <c r="A188" s="44" t="s">
        <v>7</v>
      </c>
      <c r="B188" s="40">
        <v>2.5774836522143518</v>
      </c>
    </row>
    <row r="189" spans="1:2">
      <c r="A189" s="44">
        <v>2025</v>
      </c>
      <c r="B189" s="40">
        <v>0.61337644926658652</v>
      </c>
    </row>
    <row r="199" spans="1:11" ht="15" customHeight="1">
      <c r="A199" s="94" t="s">
        <v>235</v>
      </c>
      <c r="B199" s="93"/>
      <c r="C199" s="93"/>
      <c r="D199" s="93"/>
      <c r="E199" s="47"/>
      <c r="F199" s="9"/>
      <c r="G199" s="9"/>
      <c r="H199" s="9"/>
      <c r="I199" s="9"/>
      <c r="J199" s="9"/>
      <c r="K199" s="9"/>
    </row>
    <row r="200" spans="1:11" ht="15" customHeight="1">
      <c r="A200" s="48" t="s">
        <v>236</v>
      </c>
      <c r="B200" s="48" t="s">
        <v>223</v>
      </c>
      <c r="C200" s="48" t="s">
        <v>224</v>
      </c>
      <c r="D200" s="48" t="s">
        <v>237</v>
      </c>
      <c r="E200" s="49"/>
    </row>
    <row r="201" spans="1:11">
      <c r="A201" s="50">
        <v>2019</v>
      </c>
      <c r="B201" s="51">
        <f>'Moneda homogenea'!C82</f>
        <v>-1.297241515715029E-3</v>
      </c>
      <c r="C201" s="51">
        <f>'Moneda homogenea'!C89</f>
        <v>-4.8173789125782636E-3</v>
      </c>
      <c r="D201" s="51">
        <f>'Moneda homogenea'!C71/'Moneda homogenea'!C42</f>
        <v>8.2016880639231279E-2</v>
      </c>
      <c r="E201" s="49"/>
    </row>
    <row r="202" spans="1:11">
      <c r="A202" s="50">
        <v>2020</v>
      </c>
      <c r="B202" s="51">
        <f>'Moneda homogenea'!D82</f>
        <v>3.610823009734461E-2</v>
      </c>
      <c r="C202" s="51">
        <f>'Moneda homogenea'!D89</f>
        <v>0.12450808407762883</v>
      </c>
      <c r="D202" s="51">
        <f>'Moneda homogenea'!D71/'Moneda homogenea'!D42</f>
        <v>0.13118529254210942</v>
      </c>
      <c r="E202" s="49"/>
    </row>
    <row r="203" spans="1:11">
      <c r="A203" s="50">
        <v>2021</v>
      </c>
      <c r="B203" s="51">
        <f>'Moneda homogenea'!E82</f>
        <v>8.359628689167313E-2</v>
      </c>
      <c r="C203" s="51">
        <f>'Moneda homogenea'!E89</f>
        <v>0.27339694193843606</v>
      </c>
      <c r="D203" s="51">
        <f>'Moneda homogenea'!E71/'Moneda homogenea'!E42</f>
        <v>0.10014033717044757</v>
      </c>
      <c r="E203" s="49"/>
    </row>
    <row r="204" spans="1:11">
      <c r="A204" s="50">
        <v>2022</v>
      </c>
      <c r="B204" s="51">
        <f>'Moneda homogenea'!F82</f>
        <v>7.8151247102381763E-2</v>
      </c>
      <c r="C204" s="51">
        <f>'Moneda homogenea'!F89</f>
        <v>0.22515322668691271</v>
      </c>
      <c r="D204" s="51">
        <f>'Moneda homogenea'!F71/'Moneda homogenea'!F42</f>
        <v>9.4401023811720955E-2</v>
      </c>
      <c r="E204" s="49"/>
    </row>
    <row r="205" spans="1:11">
      <c r="A205" s="50">
        <v>2023</v>
      </c>
      <c r="B205" s="51">
        <f>'Moneda homogenea'!G82</f>
        <v>1.5382322902330704E-2</v>
      </c>
      <c r="C205" s="51">
        <f>'Moneda homogenea'!G89</f>
        <v>4.6271238157105286E-2</v>
      </c>
      <c r="D205" s="51">
        <f>'Moneda homogenea'!G71/'Moneda homogenea'!G42</f>
        <v>8.7801055172522874E-2</v>
      </c>
      <c r="E205" s="49"/>
      <c r="F205" s="9"/>
      <c r="G205" s="9"/>
      <c r="H205" s="9"/>
      <c r="I205" s="9"/>
      <c r="J205" s="9"/>
      <c r="K205" s="9"/>
    </row>
    <row r="206" spans="1:11">
      <c r="A206" s="50">
        <v>2024</v>
      </c>
      <c r="B206" s="51">
        <f>'Moneda homogenea'!H82</f>
        <v>0.10005388974494994</v>
      </c>
      <c r="C206" s="51">
        <f>'Moneda homogenea'!H89</f>
        <v>0.26990039863261062</v>
      </c>
      <c r="D206" s="51">
        <f>'Moneda homogenea'!H71/'Moneda homogenea'!H42</f>
        <v>8.0808639129913887E-2</v>
      </c>
      <c r="E206" s="49"/>
    </row>
    <row r="207" spans="1:11">
      <c r="A207" s="50" t="s">
        <v>11</v>
      </c>
      <c r="B207" s="51">
        <f>'Moneda homogenea'!L82</f>
        <v>3.7106202696147533E-2</v>
      </c>
      <c r="C207" s="51">
        <f>'Moneda homogenea'!L89</f>
        <v>0.10214494253346634</v>
      </c>
      <c r="D207" s="51">
        <f>'Moneda homogenea'!L71/'Moneda homogenea'!L42</f>
        <v>8.733511460444722E-2</v>
      </c>
      <c r="E207" s="49"/>
    </row>
    <row r="208" spans="1:11">
      <c r="A208" s="50"/>
      <c r="B208" s="49"/>
      <c r="C208" s="49"/>
      <c r="D208" s="49"/>
      <c r="E208" s="49"/>
    </row>
    <row r="209" spans="1:11" ht="15" customHeight="1">
      <c r="A209" s="95" t="s">
        <v>238</v>
      </c>
      <c r="B209" s="93"/>
      <c r="C209" s="93"/>
      <c r="D209" s="93"/>
      <c r="E209" s="47"/>
    </row>
    <row r="210" spans="1:11" ht="15" customHeight="1">
      <c r="A210" s="52" t="s">
        <v>236</v>
      </c>
      <c r="B210" s="48" t="s">
        <v>239</v>
      </c>
      <c r="C210" s="48" t="s">
        <v>240</v>
      </c>
      <c r="D210" s="48" t="s">
        <v>241</v>
      </c>
      <c r="E210" s="49"/>
    </row>
    <row r="211" spans="1:11">
      <c r="A211" s="50">
        <v>2019</v>
      </c>
      <c r="B211" s="53">
        <f>'Moneda homogenea'!C78</f>
        <v>1.4248551373608709</v>
      </c>
      <c r="C211" s="53">
        <f>'Moneda homogenea'!C90</f>
        <v>0.86724147735076673</v>
      </c>
      <c r="D211" s="54">
        <f>'Moneda homogenea'!C93</f>
        <v>548400.81764794048</v>
      </c>
      <c r="E211" s="49"/>
    </row>
    <row r="212" spans="1:11">
      <c r="A212" s="50">
        <v>2020</v>
      </c>
      <c r="B212" s="53">
        <f>'Moneda homogenea'!D78</f>
        <v>1.5599926582333075</v>
      </c>
      <c r="C212" s="53">
        <f>'Moneda homogenea'!D90</f>
        <v>0.93671238112235844</v>
      </c>
      <c r="D212" s="54">
        <f>'Moneda homogenea'!D93</f>
        <v>685197.41378090391</v>
      </c>
      <c r="E212" s="49"/>
    </row>
    <row r="213" spans="1:11">
      <c r="A213" s="50">
        <v>2021</v>
      </c>
      <c r="B213" s="53">
        <f>'Moneda homogenea'!E78</f>
        <v>1.5513625354808633</v>
      </c>
      <c r="C213" s="53">
        <f>'Moneda homogenea'!E90</f>
        <v>0.89863637543270247</v>
      </c>
      <c r="D213" s="54">
        <f>'Moneda homogenea'!E93</f>
        <v>754066.84213245963</v>
      </c>
      <c r="E213" s="49"/>
    </row>
    <row r="214" spans="1:11">
      <c r="A214" s="50">
        <v>2022</v>
      </c>
      <c r="B214" s="53">
        <f>'Moneda homogenea'!F78</f>
        <v>1.2754061341093577</v>
      </c>
      <c r="C214" s="53">
        <f>'Moneda homogenea'!F90</f>
        <v>0.65363326180230885</v>
      </c>
      <c r="D214" s="54">
        <f>'Moneda homogenea'!F93</f>
        <v>460777.17889168207</v>
      </c>
      <c r="E214" s="49"/>
      <c r="F214" s="9"/>
      <c r="G214" s="9"/>
      <c r="H214" s="9"/>
      <c r="I214" s="9"/>
      <c r="J214" s="9"/>
      <c r="K214" s="9"/>
    </row>
    <row r="215" spans="1:11">
      <c r="A215" s="50">
        <v>2023</v>
      </c>
      <c r="B215" s="53">
        <f>'Moneda homogenea'!G78</f>
        <v>1.401032046128257</v>
      </c>
      <c r="C215" s="53">
        <f>'Moneda homogenea'!G90</f>
        <v>0.7964615696614471</v>
      </c>
      <c r="D215" s="54">
        <f>'Moneda homogenea'!G93</f>
        <v>758011.7870115994</v>
      </c>
      <c r="E215" s="49"/>
    </row>
    <row r="216" spans="1:11">
      <c r="A216" s="50">
        <v>2024</v>
      </c>
      <c r="B216" s="53">
        <f>'Moneda homogenea'!H78</f>
        <v>1.2413997156054866</v>
      </c>
      <c r="C216" s="53">
        <f>'Moneda homogenea'!H90</f>
        <v>0.68901738502438026</v>
      </c>
      <c r="D216" s="54">
        <f>'Moneda homogenea'!H93</f>
        <v>433365.59057619865</v>
      </c>
      <c r="E216" s="49"/>
    </row>
    <row r="217" spans="1:11">
      <c r="A217" s="50" t="s">
        <v>11</v>
      </c>
      <c r="B217" s="53">
        <f>'Moneda homogenea'!L78</f>
        <v>1.5100909972318128</v>
      </c>
      <c r="C217" s="53">
        <f>'Moneda homogenea'!L90</f>
        <v>0.88741733679093848</v>
      </c>
      <c r="D217" s="54">
        <f>'Moneda homogenea'!L93</f>
        <v>857035</v>
      </c>
      <c r="E217" s="49"/>
    </row>
    <row r="218" spans="1:11">
      <c r="A218" s="50"/>
      <c r="B218" s="49"/>
      <c r="C218" s="49"/>
      <c r="D218" s="49"/>
      <c r="E218" s="49"/>
    </row>
    <row r="219" spans="1:11" ht="15" customHeight="1">
      <c r="A219" s="95" t="s">
        <v>242</v>
      </c>
      <c r="B219" s="93"/>
      <c r="C219" s="93"/>
      <c r="D219" s="93"/>
      <c r="E219" s="47"/>
    </row>
    <row r="220" spans="1:11" ht="15" customHeight="1">
      <c r="A220" s="52" t="s">
        <v>236</v>
      </c>
      <c r="B220" s="48" t="s">
        <v>243</v>
      </c>
      <c r="C220" s="48" t="s">
        <v>244</v>
      </c>
      <c r="D220" s="48" t="s">
        <v>245</v>
      </c>
      <c r="E220" s="49"/>
    </row>
    <row r="221" spans="1:11">
      <c r="A221" s="50">
        <v>2019</v>
      </c>
      <c r="B221" s="53">
        <f>'Moneda homogenea'!C83</f>
        <v>2.7135559217151353</v>
      </c>
      <c r="C221" s="53">
        <f>'Moneda homogenea'!C79</f>
        <v>0.36852013698982039</v>
      </c>
      <c r="D221" s="53">
        <f>'Moneda homogenea'!C87</f>
        <v>4.9126673110371728</v>
      </c>
      <c r="E221" s="49"/>
    </row>
    <row r="222" spans="1:11">
      <c r="A222" s="50">
        <v>2020</v>
      </c>
      <c r="B222" s="53">
        <f>'Moneda homogenea'!D83</f>
        <v>2.448191277777005</v>
      </c>
      <c r="C222" s="53">
        <f>'Moneda homogenea'!D79</f>
        <v>0.4084648160776127</v>
      </c>
      <c r="D222" s="53">
        <f>'Moneda homogenea'!D87</f>
        <v>2.745466856251213</v>
      </c>
      <c r="E222" s="49"/>
    </row>
    <row r="223" spans="1:11">
      <c r="A223" s="50">
        <v>2021</v>
      </c>
      <c r="B223" s="53">
        <f>'Moneda homogenea'!E83</f>
        <v>2.2704436058591089</v>
      </c>
      <c r="C223" s="53">
        <f>'Moneda homogenea'!E79</f>
        <v>0.44044256259851555</v>
      </c>
      <c r="D223" s="53">
        <f>'Moneda homogenea'!E87</f>
        <v>2.8298891139560478</v>
      </c>
      <c r="E223" s="49"/>
    </row>
    <row r="224" spans="1:11">
      <c r="A224" s="50">
        <v>2022</v>
      </c>
      <c r="B224" s="53">
        <f>'Moneda homogenea'!F83</f>
        <v>1.880993394666518</v>
      </c>
      <c r="C224" s="53">
        <f>'Moneda homogenea'!F79</f>
        <v>0.53163397746927776</v>
      </c>
      <c r="D224" s="53">
        <f>'Moneda homogenea'!F87</f>
        <v>2.1794210050665335</v>
      </c>
      <c r="E224" s="49"/>
    </row>
    <row r="225" spans="1:5">
      <c r="A225" s="50">
        <v>2023</v>
      </c>
      <c r="B225" s="53">
        <f>'Moneda homogenea'!G83</f>
        <v>2.0080787180780315</v>
      </c>
      <c r="C225" s="53">
        <f>'Moneda homogenea'!G79</f>
        <v>0.49798844586985025</v>
      </c>
      <c r="D225" s="53">
        <f>'Moneda homogenea'!G87</f>
        <v>3.0932396358941157</v>
      </c>
      <c r="E225" s="49"/>
    </row>
    <row r="226" spans="1:5">
      <c r="A226" s="50">
        <v>2024</v>
      </c>
      <c r="B226" s="53">
        <f>'Moneda homogenea'!H83</f>
        <v>1.6975502833585079</v>
      </c>
      <c r="C226" s="53">
        <f>'Moneda homogenea'!H79</f>
        <v>0.58908417017347858</v>
      </c>
      <c r="D226" s="53">
        <f>'Moneda homogenea'!H87</f>
        <v>2.8974120475097491</v>
      </c>
      <c r="E226" s="49"/>
    </row>
    <row r="227" spans="1:5">
      <c r="A227" s="50" t="s">
        <v>11</v>
      </c>
      <c r="B227" s="53">
        <f>'Moneda homogenea'!L83</f>
        <v>1.7527727202350272</v>
      </c>
      <c r="C227" s="53">
        <f>'Moneda homogenea'!L79</f>
        <v>0.57052462561484374</v>
      </c>
      <c r="D227" s="53">
        <f>'Moneda homogenea'!L87</f>
        <v>2.7886081035327388</v>
      </c>
      <c r="E227" s="49"/>
    </row>
    <row r="228" spans="1:5">
      <c r="A228" s="50"/>
      <c r="B228" s="49"/>
      <c r="C228" s="49"/>
      <c r="D228" s="49"/>
      <c r="E228" s="49"/>
    </row>
    <row r="229" spans="1:5" ht="15" customHeight="1">
      <c r="A229" s="95" t="s">
        <v>246</v>
      </c>
      <c r="B229" s="93"/>
      <c r="C229" s="93"/>
      <c r="D229" s="93"/>
      <c r="E229" s="93"/>
    </row>
    <row r="230" spans="1:5" ht="15" customHeight="1">
      <c r="A230" s="52" t="s">
        <v>236</v>
      </c>
      <c r="B230" s="48" t="s">
        <v>247</v>
      </c>
      <c r="C230" s="48" t="s">
        <v>248</v>
      </c>
      <c r="D230" s="48" t="s">
        <v>249</v>
      </c>
      <c r="E230" s="48" t="s">
        <v>250</v>
      </c>
    </row>
    <row r="231" spans="1:5">
      <c r="A231" s="50">
        <v>2019</v>
      </c>
      <c r="B231" s="51" t="str">
        <f>'Moneda homogenea'!C74</f>
        <v>-</v>
      </c>
      <c r="C231" s="51" t="str">
        <f>'Moneda homogenea'!C75</f>
        <v>-</v>
      </c>
      <c r="D231" s="53">
        <f>'Moneda homogenea'!C92</f>
        <v>1.2127950723656666</v>
      </c>
      <c r="E231" s="51">
        <f>'Moneda homogenea'!C94</f>
        <v>-9.8000000000000004E-2</v>
      </c>
    </row>
    <row r="232" spans="1:5">
      <c r="A232" s="50">
        <v>2020</v>
      </c>
      <c r="B232" s="51">
        <f>'Moneda homogenea'!D74</f>
        <v>-3.4808761416332192E-2</v>
      </c>
      <c r="C232" s="51">
        <f>'Moneda homogenea'!D75</f>
        <v>9.6148016793202756E-2</v>
      </c>
      <c r="D232" s="53">
        <f>'Moneda homogenea'!D92</f>
        <v>1.1745256070128836</v>
      </c>
      <c r="E232" s="51">
        <f>'Moneda homogenea'!D94</f>
        <v>8.0000000000000002E-3</v>
      </c>
    </row>
    <row r="233" spans="1:5">
      <c r="A233" s="50">
        <v>2021</v>
      </c>
      <c r="B233" s="51">
        <f>'Moneda homogenea'!E74</f>
        <v>0.12726081000215023</v>
      </c>
      <c r="C233" s="51">
        <f>'Moneda homogenea'!E75</f>
        <v>2.3957519814707937E-3</v>
      </c>
      <c r="D233" s="53">
        <f>'Moneda homogenea'!E92</f>
        <v>1.2640592556619548</v>
      </c>
      <c r="E233" s="51">
        <f>'Moneda homogenea'!E94</f>
        <v>1.4999999999999999E-2</v>
      </c>
    </row>
    <row r="234" spans="1:5">
      <c r="A234" s="50">
        <v>2022</v>
      </c>
      <c r="B234" s="51">
        <f>'Moneda homogenea'!F74</f>
        <v>6.543865669584184E-2</v>
      </c>
      <c r="C234" s="51">
        <f>'Moneda homogenea'!F75</f>
        <v>6.9867238671659365E-2</v>
      </c>
      <c r="D234" s="53">
        <f>'Moneda homogenea'!F92</f>
        <v>1.3807359035886115</v>
      </c>
      <c r="E234" s="51">
        <f>'Moneda homogenea'!F94</f>
        <v>1.6E-2</v>
      </c>
    </row>
    <row r="235" spans="1:5">
      <c r="A235" s="50">
        <v>2023</v>
      </c>
      <c r="B235" s="51">
        <f>'Moneda homogenea'!G74</f>
        <v>-1.6092295069608433E-2</v>
      </c>
      <c r="C235" s="51">
        <f>'Moneda homogenea'!G75</f>
        <v>-5.7027776024874736E-2</v>
      </c>
      <c r="D235" s="53">
        <f>'Moneda homogenea'!G92</f>
        <v>1.1308475040477197</v>
      </c>
      <c r="E235" s="51">
        <f>'Moneda homogenea'!G94</f>
        <v>8.9999999999999993E-3</v>
      </c>
    </row>
    <row r="236" spans="1:5">
      <c r="A236" s="50">
        <v>2024</v>
      </c>
      <c r="B236" s="51">
        <f>'Moneda homogenea'!H74</f>
        <v>-5.539061949199723E-2</v>
      </c>
      <c r="C236" s="51">
        <f>'Moneda homogenea'!H75</f>
        <v>-2.7801134652916861E-2</v>
      </c>
      <c r="D236" s="53">
        <f>'Moneda homogenea'!H92</f>
        <v>1.2758837561929486</v>
      </c>
      <c r="E236" s="51">
        <f>'Moneda homogenea'!H94</f>
        <v>-0.11</v>
      </c>
    </row>
    <row r="237" spans="1:5">
      <c r="A237" s="50" t="s">
        <v>11</v>
      </c>
      <c r="B237" s="51"/>
      <c r="C237" s="51"/>
      <c r="D237" s="53">
        <f>'Moneda homogenea'!L92</f>
        <v>1.3411902937929372</v>
      </c>
      <c r="E237" s="51">
        <f>'Moneda homogenea'!L94</f>
        <v>0</v>
      </c>
    </row>
    <row r="238" spans="1:5">
      <c r="A238" s="50"/>
      <c r="B238" s="49"/>
      <c r="C238" s="49"/>
      <c r="D238" s="49"/>
      <c r="E238" s="49"/>
    </row>
  </sheetData>
  <mergeCells count="5">
    <mergeCell ref="D24:D26"/>
    <mergeCell ref="A199:D199"/>
    <mergeCell ref="A209:D209"/>
    <mergeCell ref="A219:D219"/>
    <mergeCell ref="A229:E229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2578125" defaultRowHeight="15" customHeight="1"/>
  <cols>
    <col min="1" max="1" width="16.42578125" customWidth="1"/>
    <col min="2" max="2" width="17" customWidth="1"/>
    <col min="3" max="3" width="23.42578125" customWidth="1"/>
    <col min="4" max="4" width="13.140625" customWidth="1"/>
    <col min="5" max="26" width="10.7109375" customWidth="1"/>
  </cols>
  <sheetData>
    <row r="1" spans="1:3" ht="49.5" customHeight="1">
      <c r="A1" s="96" t="s">
        <v>251</v>
      </c>
      <c r="B1" s="97"/>
      <c r="C1" s="98"/>
    </row>
    <row r="2" spans="1:3" ht="16.5" customHeight="1">
      <c r="A2" s="55"/>
      <c r="B2" s="55"/>
    </row>
    <row r="3" spans="1:3" ht="32.25" customHeight="1">
      <c r="A3" s="56" t="s">
        <v>252</v>
      </c>
      <c r="B3" s="57" t="s">
        <v>253</v>
      </c>
    </row>
    <row r="4" spans="1:3" ht="22.5" customHeight="1">
      <c r="A4" s="58">
        <v>33970</v>
      </c>
      <c r="B4" s="59">
        <v>7.4670667346606479</v>
      </c>
    </row>
    <row r="5" spans="1:3" ht="22.5" customHeight="1">
      <c r="A5" s="60">
        <v>34001</v>
      </c>
      <c r="B5" s="61">
        <v>7.5009994172178738</v>
      </c>
    </row>
    <row r="6" spans="1:3" ht="22.5" customHeight="1">
      <c r="A6" s="60">
        <v>34029</v>
      </c>
      <c r="B6" s="61">
        <v>7.522855448481697</v>
      </c>
    </row>
    <row r="7" spans="1:3" ht="22.5" customHeight="1">
      <c r="A7" s="60">
        <v>34060</v>
      </c>
      <c r="B7" s="61">
        <v>7.5619707627410104</v>
      </c>
    </row>
    <row r="8" spans="1:3" ht="22.5" customHeight="1">
      <c r="A8" s="60">
        <v>34090</v>
      </c>
      <c r="B8" s="61">
        <v>7.5379824857185964</v>
      </c>
    </row>
    <row r="9" spans="1:3" ht="22.5" customHeight="1">
      <c r="A9" s="60">
        <v>34121</v>
      </c>
      <c r="B9" s="61">
        <v>7.5522868623991686</v>
      </c>
    </row>
    <row r="10" spans="1:3" ht="22.5" customHeight="1">
      <c r="A10" s="60">
        <v>34151</v>
      </c>
      <c r="B10" s="61">
        <v>7.560007680282113</v>
      </c>
    </row>
    <row r="11" spans="1:3" ht="22.5" customHeight="1">
      <c r="A11" s="60">
        <v>34182</v>
      </c>
      <c r="B11" s="61">
        <v>7.5932269137687038</v>
      </c>
    </row>
    <row r="12" spans="1:3" ht="22.5" customHeight="1">
      <c r="A12" s="60">
        <v>34213</v>
      </c>
      <c r="B12" s="61">
        <v>7.5641672631575219</v>
      </c>
    </row>
    <row r="13" spans="1:3" ht="22.5" customHeight="1">
      <c r="A13" s="60">
        <v>34243</v>
      </c>
      <c r="B13" s="61">
        <v>7.5769304654789558</v>
      </c>
    </row>
    <row r="14" spans="1:3" ht="22.5" customHeight="1">
      <c r="A14" s="60">
        <v>34274</v>
      </c>
      <c r="B14" s="61">
        <v>7.5110623794019418</v>
      </c>
    </row>
    <row r="15" spans="1:3" ht="22.5" customHeight="1">
      <c r="A15" s="60">
        <v>34304</v>
      </c>
      <c r="B15" s="61">
        <v>7.4488593912260432</v>
      </c>
    </row>
    <row r="16" spans="1:3" ht="22.5" customHeight="1">
      <c r="A16" s="60">
        <v>34335</v>
      </c>
      <c r="B16" s="61">
        <v>7.4125880959717492</v>
      </c>
    </row>
    <row r="17" spans="1:2" ht="22.5" customHeight="1">
      <c r="A17" s="60">
        <v>34366</v>
      </c>
      <c r="B17" s="61">
        <v>7.3658827644727394</v>
      </c>
    </row>
    <row r="18" spans="1:2" ht="22.5" customHeight="1">
      <c r="A18" s="60">
        <v>34394</v>
      </c>
      <c r="B18" s="61">
        <v>7.3719092588597084</v>
      </c>
    </row>
    <row r="19" spans="1:2" ht="22.5" customHeight="1">
      <c r="A19" s="60">
        <v>34425</v>
      </c>
      <c r="B19" s="61">
        <v>7.3982751718026973</v>
      </c>
    </row>
    <row r="20" spans="1:2" ht="22.5" customHeight="1">
      <c r="A20" s="60">
        <v>34455</v>
      </c>
      <c r="B20" s="61">
        <v>7.4849060286153746</v>
      </c>
    </row>
    <row r="21" spans="1:2" ht="22.5" customHeight="1">
      <c r="A21" s="60">
        <v>34486</v>
      </c>
      <c r="B21" s="61">
        <v>7.5436643488883224</v>
      </c>
    </row>
    <row r="22" spans="1:2" ht="22.5" customHeight="1">
      <c r="A22" s="60">
        <v>34516</v>
      </c>
      <c r="B22" s="61">
        <v>7.5813299388068778</v>
      </c>
    </row>
    <row r="23" spans="1:2" ht="22.5" customHeight="1">
      <c r="A23" s="60">
        <v>34547</v>
      </c>
      <c r="B23" s="61">
        <v>7.5737968208231674</v>
      </c>
    </row>
    <row r="24" spans="1:2" ht="22.5" customHeight="1">
      <c r="A24" s="60">
        <v>34578</v>
      </c>
      <c r="B24" s="61">
        <v>7.5730435090247958</v>
      </c>
    </row>
    <row r="25" spans="1:2" ht="22.5" customHeight="1">
      <c r="A25" s="60">
        <v>34608</v>
      </c>
      <c r="B25" s="61">
        <v>7.5941362393791874</v>
      </c>
    </row>
    <row r="26" spans="1:2" ht="22.5" customHeight="1">
      <c r="A26" s="60">
        <v>34639</v>
      </c>
      <c r="B26" s="61">
        <v>7.6559078068456179</v>
      </c>
    </row>
    <row r="27" spans="1:2" ht="22.5" customHeight="1">
      <c r="A27" s="60">
        <v>34669</v>
      </c>
      <c r="B27" s="61">
        <v>7.6687141074179266</v>
      </c>
    </row>
    <row r="28" spans="1:2" ht="22.5" customHeight="1">
      <c r="A28" s="60">
        <v>34700</v>
      </c>
      <c r="B28" s="61">
        <v>7.7771910063833669</v>
      </c>
    </row>
    <row r="29" spans="1:2" ht="22.5" customHeight="1">
      <c r="A29" s="60">
        <v>34731</v>
      </c>
      <c r="B29" s="61">
        <v>7.8073234783182119</v>
      </c>
    </row>
    <row r="30" spans="1:2" ht="22.5" customHeight="1">
      <c r="A30" s="60">
        <v>34759</v>
      </c>
      <c r="B30" s="61">
        <v>7.7606181468192021</v>
      </c>
    </row>
    <row r="31" spans="1:2" ht="22.5" customHeight="1">
      <c r="A31" s="60">
        <v>34790</v>
      </c>
      <c r="B31" s="61">
        <v>8.0205107172572365</v>
      </c>
    </row>
    <row r="32" spans="1:2" ht="22.5" customHeight="1">
      <c r="A32" s="60">
        <v>34820</v>
      </c>
      <c r="B32" s="61">
        <v>8.0303037706360598</v>
      </c>
    </row>
    <row r="33" spans="1:2" ht="22.5" customHeight="1">
      <c r="A33" s="60">
        <v>34851</v>
      </c>
      <c r="B33" s="61">
        <v>8.0551630599823092</v>
      </c>
    </row>
    <row r="34" spans="1:2" ht="22.5" customHeight="1">
      <c r="A34" s="60">
        <v>34881</v>
      </c>
      <c r="B34" s="61">
        <v>8.0852955319171524</v>
      </c>
    </row>
    <row r="35" spans="1:2" ht="22.5" customHeight="1">
      <c r="A35" s="60">
        <v>34912</v>
      </c>
      <c r="B35" s="61">
        <v>8.1101548212633983</v>
      </c>
    </row>
    <row r="36" spans="1:2" ht="22.5" customHeight="1">
      <c r="A36" s="60">
        <v>34943</v>
      </c>
      <c r="B36" s="61">
        <v>8.1116614448601414</v>
      </c>
    </row>
    <row r="37" spans="1:2" ht="22.5" customHeight="1">
      <c r="A37" s="60">
        <v>34973</v>
      </c>
      <c r="B37" s="61">
        <v>8.1026217032796879</v>
      </c>
    </row>
    <row r="38" spans="1:2" ht="22.5" customHeight="1">
      <c r="A38" s="60">
        <v>35004</v>
      </c>
      <c r="B38" s="61">
        <v>8.0883087791106369</v>
      </c>
    </row>
    <row r="39" spans="1:2" ht="22.5" customHeight="1">
      <c r="A39" s="60">
        <v>35034</v>
      </c>
      <c r="B39" s="61">
        <v>8.1154280038519975</v>
      </c>
    </row>
    <row r="40" spans="1:2" ht="22.5" customHeight="1">
      <c r="A40" s="60">
        <v>35065</v>
      </c>
      <c r="B40" s="61">
        <v>8.1335074870129027</v>
      </c>
    </row>
    <row r="41" spans="1:2" ht="22.5" customHeight="1">
      <c r="A41" s="60">
        <v>35096</v>
      </c>
      <c r="B41" s="61">
        <v>8.1252210572308208</v>
      </c>
    </row>
    <row r="42" spans="1:2" ht="22.5" customHeight="1">
      <c r="A42" s="60">
        <v>35125</v>
      </c>
      <c r="B42" s="61">
        <v>8.1884992482939953</v>
      </c>
    </row>
    <row r="43" spans="1:2" ht="22.5" customHeight="1">
      <c r="A43" s="60">
        <v>35156</v>
      </c>
      <c r="B43" s="61">
        <v>8.310535759630115</v>
      </c>
    </row>
    <row r="44" spans="1:2" ht="22.5" customHeight="1">
      <c r="A44" s="60">
        <v>35186</v>
      </c>
      <c r="B44" s="61">
        <v>8.3293685545893918</v>
      </c>
    </row>
    <row r="45" spans="1:2" ht="22.5" customHeight="1">
      <c r="A45" s="60">
        <v>35217</v>
      </c>
      <c r="B45" s="61">
        <v>8.2668436753245906</v>
      </c>
    </row>
    <row r="46" spans="1:2" ht="22.5" customHeight="1">
      <c r="A46" s="60">
        <v>35247</v>
      </c>
      <c r="B46" s="61">
        <v>8.2570506219457656</v>
      </c>
    </row>
    <row r="47" spans="1:2" ht="22.5" customHeight="1">
      <c r="A47" s="60">
        <v>35278</v>
      </c>
      <c r="B47" s="61">
        <v>8.2314380208011482</v>
      </c>
    </row>
    <row r="48" spans="1:2" ht="22.5" customHeight="1">
      <c r="A48" s="60">
        <v>35309</v>
      </c>
      <c r="B48" s="61">
        <v>8.3256019955975376</v>
      </c>
    </row>
    <row r="49" spans="1:2" ht="22.5" customHeight="1">
      <c r="A49" s="60">
        <v>35339</v>
      </c>
      <c r="B49" s="61">
        <v>8.3595010265242369</v>
      </c>
    </row>
    <row r="50" spans="1:2" ht="22.5" customHeight="1">
      <c r="A50" s="60">
        <v>35370</v>
      </c>
      <c r="B50" s="61">
        <v>8.2939629000659494</v>
      </c>
    </row>
    <row r="51" spans="1:2" ht="22.5" customHeight="1">
      <c r="A51" s="60">
        <v>35400</v>
      </c>
      <c r="B51" s="61">
        <v>8.2826632230903847</v>
      </c>
    </row>
    <row r="52" spans="1:2" ht="22.5" customHeight="1">
      <c r="A52" s="60">
        <v>35431</v>
      </c>
      <c r="B52" s="61">
        <v>8.312795695025228</v>
      </c>
    </row>
    <row r="53" spans="1:2" ht="22.5" customHeight="1">
      <c r="A53" s="60">
        <v>35462</v>
      </c>
      <c r="B53" s="61">
        <v>8.298482770856177</v>
      </c>
    </row>
    <row r="54" spans="1:2" ht="22.5" customHeight="1">
      <c r="A54" s="60">
        <v>35490</v>
      </c>
      <c r="B54" s="61">
        <v>8.274376793308301</v>
      </c>
    </row>
    <row r="55" spans="1:2" ht="22.5" customHeight="1">
      <c r="A55" s="60">
        <v>35521</v>
      </c>
      <c r="B55" s="61">
        <v>8.2382178269864887</v>
      </c>
    </row>
    <row r="56" spans="1:2" ht="22.5" customHeight="1">
      <c r="A56" s="60">
        <v>35551</v>
      </c>
      <c r="B56" s="61">
        <v>8.2901963410740951</v>
      </c>
    </row>
    <row r="57" spans="1:2" ht="22.5" customHeight="1">
      <c r="A57" s="60">
        <v>35582</v>
      </c>
      <c r="B57" s="61">
        <v>8.2570506219457656</v>
      </c>
    </row>
    <row r="58" spans="1:2" ht="22.5" customHeight="1">
      <c r="A58" s="60">
        <v>35612</v>
      </c>
      <c r="B58" s="61">
        <v>8.2208916556239515</v>
      </c>
    </row>
    <row r="59" spans="1:2" ht="22.5" customHeight="1">
      <c r="A59" s="60">
        <v>35643</v>
      </c>
      <c r="B59" s="61">
        <v>8.2773900405017855</v>
      </c>
    </row>
    <row r="60" spans="1:2" ht="22.5" customHeight="1">
      <c r="A60" s="60">
        <v>35674</v>
      </c>
      <c r="B60" s="61">
        <v>8.2879364056789822</v>
      </c>
    </row>
    <row r="61" spans="1:2" ht="22.5" customHeight="1">
      <c r="A61" s="60">
        <v>35704</v>
      </c>
      <c r="B61" s="61">
        <v>8.2781433523001571</v>
      </c>
    </row>
    <row r="62" spans="1:2" ht="22.5" customHeight="1">
      <c r="A62" s="60">
        <v>35735</v>
      </c>
      <c r="B62" s="61">
        <v>8.2608171809376216</v>
      </c>
    </row>
    <row r="63" spans="1:2" ht="22.5" customHeight="1">
      <c r="A63" s="60">
        <v>35765</v>
      </c>
      <c r="B63" s="61">
        <v>8.2065787314549006</v>
      </c>
    </row>
    <row r="64" spans="1:2" ht="22.5" customHeight="1">
      <c r="A64" s="60">
        <v>35796</v>
      </c>
      <c r="B64" s="61">
        <v>8.1026217032796879</v>
      </c>
    </row>
    <row r="65" spans="1:2" ht="22.5" customHeight="1">
      <c r="A65" s="60">
        <v>35827</v>
      </c>
      <c r="B65" s="61">
        <v>8.1312475516177898</v>
      </c>
    </row>
    <row r="66" spans="1:2" ht="22.5" customHeight="1">
      <c r="A66" s="60">
        <v>35855</v>
      </c>
      <c r="B66" s="61">
        <v>8.1101548212633983</v>
      </c>
    </row>
    <row r="67" spans="1:2" ht="22.5" customHeight="1">
      <c r="A67" s="60">
        <v>35886</v>
      </c>
      <c r="B67" s="61">
        <v>8.1169346274487388</v>
      </c>
    </row>
    <row r="68" spans="1:2" ht="22.5" customHeight="1">
      <c r="A68" s="60">
        <v>35916</v>
      </c>
      <c r="B68" s="61">
        <v>8.100361767884575</v>
      </c>
    </row>
    <row r="69" spans="1:2" ht="22.5" customHeight="1">
      <c r="A69" s="60">
        <v>35947</v>
      </c>
      <c r="B69" s="61">
        <v>8.100361767884575</v>
      </c>
    </row>
    <row r="70" spans="1:2" ht="22.5" customHeight="1">
      <c r="A70" s="60">
        <v>35977</v>
      </c>
      <c r="B70" s="61">
        <v>8.0762557903366989</v>
      </c>
    </row>
    <row r="71" spans="1:2" ht="22.5" customHeight="1">
      <c r="A71" s="60">
        <v>36008</v>
      </c>
      <c r="B71" s="61">
        <v>8.0250305880474642</v>
      </c>
    </row>
    <row r="72" spans="1:2" ht="22.5" customHeight="1">
      <c r="A72" s="60">
        <v>36039</v>
      </c>
      <c r="B72" s="61">
        <v>7.9406596666298981</v>
      </c>
    </row>
    <row r="73" spans="1:2" ht="22.5" customHeight="1">
      <c r="A73" s="60">
        <v>36069</v>
      </c>
      <c r="B73" s="61">
        <v>7.8547821216155924</v>
      </c>
    </row>
    <row r="74" spans="1:2" ht="22.5" customHeight="1">
      <c r="A74" s="60">
        <v>36100</v>
      </c>
      <c r="B74" s="61">
        <v>7.7817108771735937</v>
      </c>
    </row>
    <row r="75" spans="1:2" ht="22.5" customHeight="1">
      <c r="A75" s="60">
        <v>36130</v>
      </c>
      <c r="B75" s="61">
        <v>7.6928200849658026</v>
      </c>
    </row>
    <row r="76" spans="1:2" ht="22.5" customHeight="1">
      <c r="A76" s="60">
        <v>36161</v>
      </c>
      <c r="B76" s="61">
        <v>7.6581677422407308</v>
      </c>
    </row>
    <row r="77" spans="1:2" ht="22.5" customHeight="1">
      <c r="A77" s="60">
        <v>36192</v>
      </c>
      <c r="B77" s="61">
        <v>7.5948895511775572</v>
      </c>
    </row>
    <row r="78" spans="1:2" ht="22.5" customHeight="1">
      <c r="A78" s="60">
        <v>36220</v>
      </c>
      <c r="B78" s="61">
        <v>7.6107090989433512</v>
      </c>
    </row>
    <row r="79" spans="1:2" ht="22.5" customHeight="1">
      <c r="A79" s="60">
        <v>36251</v>
      </c>
      <c r="B79" s="61">
        <v>7.6845336551837207</v>
      </c>
    </row>
    <row r="80" spans="1:2" ht="22.5" customHeight="1">
      <c r="A80" s="60">
        <v>36281</v>
      </c>
      <c r="B80" s="61">
        <v>7.6815204079902362</v>
      </c>
    </row>
    <row r="81" spans="1:2" ht="22.5" customHeight="1">
      <c r="A81" s="60">
        <v>36312</v>
      </c>
      <c r="B81" s="61">
        <v>7.6747406018048956</v>
      </c>
    </row>
    <row r="82" spans="1:2" ht="22.5" customHeight="1">
      <c r="A82" s="60">
        <v>36342</v>
      </c>
      <c r="B82" s="61">
        <v>7.6890535259739474</v>
      </c>
    </row>
    <row r="83" spans="1:2" ht="22.5" customHeight="1">
      <c r="A83" s="60">
        <v>36373</v>
      </c>
      <c r="B83" s="61">
        <v>7.7086396327315958</v>
      </c>
    </row>
    <row r="84" spans="1:2" ht="22.5" customHeight="1">
      <c r="A84" s="60">
        <v>36404</v>
      </c>
      <c r="B84" s="61">
        <v>7.7734244473915117</v>
      </c>
    </row>
    <row r="85" spans="1:2" ht="22.5" customHeight="1">
      <c r="A85" s="60">
        <v>36434</v>
      </c>
      <c r="B85" s="61">
        <v>7.7643847058110582</v>
      </c>
    </row>
    <row r="86" spans="1:2" ht="22.5" customHeight="1">
      <c r="A86" s="60">
        <v>36465</v>
      </c>
      <c r="B86" s="61">
        <v>7.7478118462468926</v>
      </c>
    </row>
    <row r="87" spans="1:2" ht="22.5" customHeight="1">
      <c r="A87" s="60">
        <v>36495</v>
      </c>
      <c r="B87" s="61">
        <v>7.7854774361654489</v>
      </c>
    </row>
    <row r="88" spans="1:2" ht="22.5" customHeight="1">
      <c r="A88" s="60">
        <v>36526</v>
      </c>
      <c r="B88" s="61">
        <v>7.8788880991634684</v>
      </c>
    </row>
    <row r="89" spans="1:2" ht="22.5" customHeight="1">
      <c r="A89" s="60">
        <v>36557</v>
      </c>
      <c r="B89" s="61">
        <v>7.9474394728152387</v>
      </c>
    </row>
    <row r="90" spans="1:2" ht="22.5" customHeight="1">
      <c r="A90" s="60">
        <v>36586</v>
      </c>
      <c r="B90" s="61">
        <v>7.9881183099272786</v>
      </c>
    </row>
    <row r="91" spans="1:2" ht="22.5" customHeight="1">
      <c r="A91" s="60">
        <v>36617</v>
      </c>
      <c r="B91" s="61">
        <v>7.8909410879374056</v>
      </c>
    </row>
    <row r="92" spans="1:2" ht="22.5" customHeight="1">
      <c r="A92" s="60">
        <v>36647</v>
      </c>
      <c r="B92" s="61">
        <v>7.9738053857582276</v>
      </c>
    </row>
    <row r="93" spans="1:2" ht="22.5" customHeight="1">
      <c r="A93" s="60">
        <v>36678</v>
      </c>
      <c r="B93" s="61">
        <v>8.0159908464670089</v>
      </c>
    </row>
    <row r="94" spans="1:2" ht="22.5" customHeight="1">
      <c r="A94" s="60">
        <v>36708</v>
      </c>
      <c r="B94" s="61">
        <v>8.0046911694914442</v>
      </c>
    </row>
    <row r="95" spans="1:2" ht="22.5" customHeight="1">
      <c r="A95" s="60">
        <v>36739</v>
      </c>
      <c r="B95" s="61">
        <v>8.0190040936604952</v>
      </c>
    </row>
    <row r="96" spans="1:2" ht="22.5" customHeight="1">
      <c r="A96" s="60">
        <v>36770</v>
      </c>
      <c r="B96" s="61">
        <v>8.1161813156503673</v>
      </c>
    </row>
    <row r="97" spans="1:2" ht="22.5" customHeight="1">
      <c r="A97" s="60">
        <v>36800</v>
      </c>
      <c r="B97" s="61">
        <v>8.1327541752145311</v>
      </c>
    </row>
    <row r="98" spans="1:2" ht="22.5" customHeight="1">
      <c r="A98" s="60">
        <v>36831</v>
      </c>
      <c r="B98" s="61">
        <v>8.1229611218357078</v>
      </c>
    </row>
    <row r="99" spans="1:2" ht="22.5" customHeight="1">
      <c r="A99" s="60">
        <v>36861</v>
      </c>
      <c r="B99" s="61">
        <v>7.9722987621614854</v>
      </c>
    </row>
    <row r="100" spans="1:2" ht="22.5" customHeight="1">
      <c r="A100" s="60">
        <v>36892</v>
      </c>
      <c r="B100" s="61">
        <v>7.9753120093549699</v>
      </c>
    </row>
    <row r="101" spans="1:2" ht="22.5" customHeight="1">
      <c r="A101" s="60">
        <v>36923</v>
      </c>
      <c r="B101" s="61">
        <v>7.9843517509354216</v>
      </c>
    </row>
    <row r="102" spans="1:2" ht="22.5" customHeight="1">
      <c r="A102" s="60">
        <v>36951</v>
      </c>
      <c r="B102" s="61">
        <v>7.9316199250494446</v>
      </c>
    </row>
    <row r="103" spans="1:2" ht="22.5" customHeight="1">
      <c r="A103" s="60">
        <v>36982</v>
      </c>
      <c r="B103" s="61">
        <v>7.9165536890820229</v>
      </c>
    </row>
    <row r="104" spans="1:2" ht="22.5" customHeight="1">
      <c r="A104" s="60">
        <v>37012</v>
      </c>
      <c r="B104" s="61">
        <v>7.922580183468992</v>
      </c>
    </row>
    <row r="105" spans="1:2" ht="22.5" customHeight="1">
      <c r="A105" s="60">
        <v>37043</v>
      </c>
      <c r="B105" s="61">
        <v>7.8871745289455486</v>
      </c>
    </row>
    <row r="106" spans="1:2" ht="22.5" customHeight="1">
      <c r="A106" s="60">
        <v>37073</v>
      </c>
      <c r="B106" s="61">
        <v>7.8593019924058183</v>
      </c>
    </row>
    <row r="107" spans="1:2" ht="22.5" customHeight="1">
      <c r="A107" s="60">
        <v>37104</v>
      </c>
      <c r="B107" s="61">
        <v>7.8208830906888913</v>
      </c>
    </row>
    <row r="108" spans="1:2" ht="22.5" customHeight="1">
      <c r="A108" s="60">
        <v>37135</v>
      </c>
      <c r="B108" s="61">
        <v>7.786984059762192</v>
      </c>
    </row>
    <row r="109" spans="1:2" ht="22.5" customHeight="1">
      <c r="A109" s="60">
        <v>37165</v>
      </c>
      <c r="B109" s="61">
        <v>7.6702207310146688</v>
      </c>
    </row>
    <row r="110" spans="1:2" ht="22.5" customHeight="1">
      <c r="A110" s="60">
        <v>37196</v>
      </c>
      <c r="B110" s="61">
        <v>7.5632504556459716</v>
      </c>
    </row>
    <row r="111" spans="1:2" ht="22.5" customHeight="1">
      <c r="A111" s="60">
        <v>37226</v>
      </c>
      <c r="B111" s="61">
        <v>7.5496908432752914</v>
      </c>
    </row>
    <row r="112" spans="1:2" ht="22.5" customHeight="1">
      <c r="A112" s="60">
        <v>37257</v>
      </c>
      <c r="B112" s="61">
        <v>8.0303037706360598</v>
      </c>
    </row>
    <row r="113" spans="1:2" ht="22.5" customHeight="1">
      <c r="A113" s="60">
        <v>37288</v>
      </c>
      <c r="B113" s="61">
        <v>9.0201554736957021</v>
      </c>
    </row>
    <row r="114" spans="1:2" ht="22.5" customHeight="1">
      <c r="A114" s="60">
        <v>37316</v>
      </c>
      <c r="B114" s="61">
        <v>10.154643042042601</v>
      </c>
    </row>
    <row r="115" spans="1:2" ht="22.5" customHeight="1">
      <c r="A115" s="60">
        <v>37347</v>
      </c>
      <c r="B115" s="61">
        <v>12.176531908870659</v>
      </c>
    </row>
    <row r="116" spans="1:2" ht="22.5" customHeight="1">
      <c r="A116" s="60">
        <v>37377</v>
      </c>
      <c r="B116" s="61">
        <v>13.67788232302429</v>
      </c>
    </row>
    <row r="117" spans="1:2" ht="22.5" customHeight="1">
      <c r="A117" s="60">
        <v>37408</v>
      </c>
      <c r="B117" s="61">
        <v>14.84626892229789</v>
      </c>
    </row>
    <row r="118" spans="1:2" ht="22.5" customHeight="1">
      <c r="A118" s="60">
        <v>37438</v>
      </c>
      <c r="B118" s="61">
        <v>15.53630252960583</v>
      </c>
    </row>
    <row r="119" spans="1:2" ht="22.5" customHeight="1">
      <c r="A119" s="60">
        <v>37469</v>
      </c>
      <c r="B119" s="61">
        <v>16.31974679991178</v>
      </c>
    </row>
    <row r="120" spans="1:2" ht="22.5" customHeight="1">
      <c r="A120" s="60">
        <v>37500</v>
      </c>
      <c r="B120" s="61">
        <v>16.717495429451731</v>
      </c>
    </row>
    <row r="121" spans="1:2" ht="22.5" customHeight="1">
      <c r="A121" s="60">
        <v>37530</v>
      </c>
      <c r="B121" s="61">
        <v>16.800359727272561</v>
      </c>
    </row>
    <row r="122" spans="1:2" ht="22.5" customHeight="1">
      <c r="A122" s="60">
        <v>37561</v>
      </c>
      <c r="B122" s="61">
        <v>16.52163436187524</v>
      </c>
    </row>
    <row r="123" spans="1:2" ht="22.5" customHeight="1">
      <c r="A123" s="60">
        <v>37591</v>
      </c>
      <c r="B123" s="61">
        <v>16.455342923618581</v>
      </c>
    </row>
    <row r="124" spans="1:2" ht="22.5" customHeight="1">
      <c r="A124" s="60">
        <v>37622</v>
      </c>
      <c r="B124" s="61">
        <v>16.52464760906873</v>
      </c>
    </row>
    <row r="125" spans="1:2" ht="22.5" customHeight="1">
      <c r="A125" s="60">
        <v>37653</v>
      </c>
      <c r="B125" s="61">
        <v>16.588679111930269</v>
      </c>
    </row>
    <row r="126" spans="1:2" ht="22.5" customHeight="1">
      <c r="A126" s="60">
        <v>37681</v>
      </c>
      <c r="B126" s="61">
        <v>16.474929030376231</v>
      </c>
    </row>
    <row r="127" spans="1:2" ht="22.5" customHeight="1">
      <c r="A127" s="60">
        <v>37712</v>
      </c>
      <c r="B127" s="61">
        <v>16.173604311027791</v>
      </c>
    </row>
    <row r="128" spans="1:2" ht="22.5" customHeight="1">
      <c r="A128" s="60">
        <v>37742</v>
      </c>
      <c r="B128" s="61">
        <v>16.070400594650948</v>
      </c>
    </row>
    <row r="129" spans="1:2" ht="22.5" customHeight="1">
      <c r="A129" s="60">
        <v>37773</v>
      </c>
      <c r="B129" s="61">
        <v>16.048554552498189</v>
      </c>
    </row>
    <row r="130" spans="1:2" ht="22.5" customHeight="1">
      <c r="A130" s="60">
        <v>37803</v>
      </c>
      <c r="B130" s="61">
        <v>16.04252805811122</v>
      </c>
    </row>
    <row r="131" spans="1:2" ht="22.5" customHeight="1">
      <c r="A131" s="60">
        <v>37834</v>
      </c>
      <c r="B131" s="61">
        <v>16.26174179143721</v>
      </c>
    </row>
    <row r="132" spans="1:2" ht="22.5" customHeight="1">
      <c r="A132" s="62">
        <v>37865</v>
      </c>
      <c r="B132" s="61">
        <v>16.233869254897481</v>
      </c>
    </row>
    <row r="133" spans="1:2" ht="22.5" customHeight="1">
      <c r="A133" s="62">
        <v>37895</v>
      </c>
      <c r="B133" s="61">
        <v>16.32050011171016</v>
      </c>
    </row>
    <row r="134" spans="1:2" ht="22.5" customHeight="1">
      <c r="A134" s="62">
        <v>37926</v>
      </c>
      <c r="B134" s="61">
        <v>16.489995266343659</v>
      </c>
    </row>
    <row r="135" spans="1:2" ht="22.5" customHeight="1">
      <c r="A135" s="62">
        <v>37956</v>
      </c>
      <c r="B135" s="61">
        <v>16.777007061523051</v>
      </c>
    </row>
    <row r="136" spans="1:2" ht="22.5" customHeight="1">
      <c r="A136" s="62">
        <v>37987</v>
      </c>
      <c r="B136" s="61">
        <v>16.72050867664522</v>
      </c>
    </row>
    <row r="137" spans="1:2" ht="22.5" customHeight="1">
      <c r="A137" s="62">
        <v>38018</v>
      </c>
      <c r="B137" s="61">
        <v>16.953282022341892</v>
      </c>
    </row>
    <row r="138" spans="1:2" ht="22.5" customHeight="1">
      <c r="A138" s="62">
        <v>38047</v>
      </c>
      <c r="B138" s="61">
        <v>17.027106578582259</v>
      </c>
    </row>
    <row r="139" spans="1:2" ht="22.5" customHeight="1">
      <c r="A139" s="62">
        <v>38078</v>
      </c>
      <c r="B139" s="61">
        <v>17.16345601408743</v>
      </c>
    </row>
    <row r="140" spans="1:2" ht="22.5" customHeight="1">
      <c r="A140" s="62">
        <v>38108</v>
      </c>
      <c r="B140" s="61">
        <v>17.38417637101017</v>
      </c>
    </row>
    <row r="141" spans="1:2" ht="22.5" customHeight="1">
      <c r="A141" s="62">
        <v>38139</v>
      </c>
      <c r="B141" s="61">
        <v>17.42334858452546</v>
      </c>
    </row>
    <row r="142" spans="1:2" ht="22.5" customHeight="1">
      <c r="A142" s="62">
        <v>38169</v>
      </c>
      <c r="B142" s="61">
        <v>17.58305068578014</v>
      </c>
    </row>
    <row r="143" spans="1:2" ht="22.5" customHeight="1">
      <c r="A143" s="62">
        <v>38200</v>
      </c>
      <c r="B143" s="61">
        <v>18.00867185185982</v>
      </c>
    </row>
    <row r="144" spans="1:2" ht="22.5" customHeight="1">
      <c r="A144" s="62">
        <v>38231</v>
      </c>
      <c r="B144" s="61">
        <v>18.050857312568599</v>
      </c>
    </row>
    <row r="145" spans="1:2" ht="22.5" customHeight="1">
      <c r="A145" s="62">
        <v>38261</v>
      </c>
      <c r="B145" s="61">
        <v>18.156320964340559</v>
      </c>
    </row>
    <row r="146" spans="1:2" ht="22.5" customHeight="1">
      <c r="A146" s="62">
        <v>38292</v>
      </c>
      <c r="B146" s="61">
        <v>17.940120478208051</v>
      </c>
    </row>
    <row r="147" spans="1:2" ht="22.5" customHeight="1">
      <c r="A147" s="62">
        <v>38322</v>
      </c>
      <c r="B147" s="61">
        <v>18.096809332269238</v>
      </c>
    </row>
    <row r="148" spans="1:2" ht="22.5" customHeight="1">
      <c r="A148" s="62">
        <v>38353</v>
      </c>
      <c r="B148" s="61">
        <v>17.92354761864388</v>
      </c>
    </row>
    <row r="149" spans="1:2" ht="22.5" customHeight="1">
      <c r="A149" s="62">
        <v>38384</v>
      </c>
      <c r="B149" s="61">
        <v>18.114135503631779</v>
      </c>
    </row>
    <row r="150" spans="1:2" ht="22.5" customHeight="1">
      <c r="A150" s="62">
        <v>38412</v>
      </c>
      <c r="B150" s="61">
        <v>18.471205296059679</v>
      </c>
    </row>
    <row r="151" spans="1:2" ht="22.5" customHeight="1">
      <c r="A151" s="62">
        <v>38443</v>
      </c>
      <c r="B151" s="61">
        <v>18.740890919876541</v>
      </c>
    </row>
    <row r="152" spans="1:2" ht="22.5" customHeight="1">
      <c r="A152" s="62">
        <v>38473</v>
      </c>
      <c r="B152" s="61">
        <v>18.72733130750586</v>
      </c>
    </row>
    <row r="153" spans="1:2" ht="22.5" customHeight="1">
      <c r="A153" s="62">
        <v>38504</v>
      </c>
      <c r="B153" s="61">
        <v>18.77177670360976</v>
      </c>
    </row>
    <row r="154" spans="1:2" ht="22.5" customHeight="1">
      <c r="A154" s="62">
        <v>38534</v>
      </c>
      <c r="B154" s="61">
        <v>19.00680998470154</v>
      </c>
    </row>
    <row r="155" spans="1:2" ht="22.5" customHeight="1">
      <c r="A155" s="62">
        <v>38565</v>
      </c>
      <c r="B155" s="61">
        <v>19.244103201188441</v>
      </c>
    </row>
    <row r="156" spans="1:2" ht="22.5" customHeight="1">
      <c r="A156" s="62">
        <v>38596</v>
      </c>
      <c r="B156" s="61">
        <v>19.607952799801691</v>
      </c>
    </row>
    <row r="157" spans="1:2" ht="22.5" customHeight="1">
      <c r="A157" s="62">
        <v>38626</v>
      </c>
      <c r="B157" s="61">
        <v>19.828673156724431</v>
      </c>
    </row>
    <row r="158" spans="1:2" ht="22.5" customHeight="1">
      <c r="A158" s="62">
        <v>38657</v>
      </c>
      <c r="B158" s="61">
        <v>19.844492704490222</v>
      </c>
    </row>
    <row r="159" spans="1:2" ht="22.5" customHeight="1">
      <c r="A159" s="62">
        <v>38687</v>
      </c>
      <c r="B159" s="61">
        <v>20.022274288905809</v>
      </c>
    </row>
    <row r="160" spans="1:2" ht="22.5" customHeight="1">
      <c r="A160" s="62">
        <v>38718</v>
      </c>
      <c r="B160" s="61">
        <v>20.29421984811777</v>
      </c>
    </row>
    <row r="161" spans="1:2" ht="22.5" customHeight="1">
      <c r="A161" s="62">
        <v>38749</v>
      </c>
      <c r="B161" s="61">
        <v>20.61513067422387</v>
      </c>
    </row>
    <row r="162" spans="1:2" ht="22.5" customHeight="1">
      <c r="A162" s="62">
        <v>38777</v>
      </c>
      <c r="B162" s="61">
        <v>20.487067668500782</v>
      </c>
    </row>
    <row r="163" spans="1:2" ht="22.5" customHeight="1">
      <c r="A163" s="62">
        <v>38808</v>
      </c>
      <c r="B163" s="61">
        <v>20.783872517058999</v>
      </c>
    </row>
    <row r="164" spans="1:2" ht="22.5" customHeight="1">
      <c r="A164" s="62">
        <v>38838</v>
      </c>
      <c r="B164" s="61">
        <v>20.866736814879818</v>
      </c>
    </row>
    <row r="165" spans="1:2" ht="22.5" customHeight="1">
      <c r="A165" s="62">
        <v>38869</v>
      </c>
      <c r="B165" s="61">
        <v>21.034725345916581</v>
      </c>
    </row>
    <row r="166" spans="1:2" ht="22.5" customHeight="1">
      <c r="A166" s="62">
        <v>38899</v>
      </c>
      <c r="B166" s="61">
        <v>21.184634393792429</v>
      </c>
    </row>
    <row r="167" spans="1:2" ht="22.5" customHeight="1">
      <c r="A167" s="62">
        <v>38930</v>
      </c>
      <c r="B167" s="61">
        <v>21.320983829297599</v>
      </c>
    </row>
    <row r="168" spans="1:2" ht="22.5" customHeight="1">
      <c r="A168" s="62">
        <v>38961</v>
      </c>
      <c r="B168" s="61">
        <v>21.265238756218139</v>
      </c>
    </row>
    <row r="169" spans="1:2" ht="22.5" customHeight="1">
      <c r="A169" s="62">
        <v>38991</v>
      </c>
      <c r="B169" s="61">
        <v>21.353376236627561</v>
      </c>
    </row>
    <row r="170" spans="1:2" ht="22.5" customHeight="1">
      <c r="A170" s="62">
        <v>39022</v>
      </c>
      <c r="B170" s="61">
        <v>21.373715655183581</v>
      </c>
    </row>
    <row r="171" spans="1:2" ht="22.5" customHeight="1">
      <c r="A171" s="62">
        <v>39052</v>
      </c>
      <c r="B171" s="61">
        <v>21.458086576601151</v>
      </c>
    </row>
    <row r="172" spans="1:2" ht="22.5" customHeight="1">
      <c r="A172" s="62">
        <v>39083</v>
      </c>
      <c r="B172" s="61">
        <v>21.533417756438261</v>
      </c>
    </row>
    <row r="173" spans="1:2" ht="22.5" customHeight="1">
      <c r="A173" s="62">
        <v>39114</v>
      </c>
      <c r="B173" s="61">
        <v>21.711952652652212</v>
      </c>
    </row>
    <row r="174" spans="1:2" ht="22.5" customHeight="1">
      <c r="A174" s="62">
        <v>39142</v>
      </c>
      <c r="B174" s="61">
        <v>21.847548776359009</v>
      </c>
    </row>
    <row r="175" spans="1:2" ht="22.5" customHeight="1">
      <c r="A175" s="62">
        <v>39173</v>
      </c>
      <c r="B175" s="61">
        <v>22.225711299141309</v>
      </c>
    </row>
    <row r="176" spans="1:2" ht="22.5" customHeight="1">
      <c r="A176" s="62">
        <v>39203</v>
      </c>
      <c r="B176" s="61">
        <v>22.570728102795279</v>
      </c>
    </row>
    <row r="177" spans="1:2" ht="22.5" customHeight="1">
      <c r="A177" s="62">
        <v>39234</v>
      </c>
      <c r="B177" s="61">
        <v>23.009908881245639</v>
      </c>
    </row>
    <row r="178" spans="1:2" ht="22.5" customHeight="1">
      <c r="A178" s="62">
        <v>39264</v>
      </c>
      <c r="B178" s="61">
        <v>23.531953957516819</v>
      </c>
    </row>
    <row r="179" spans="1:2" ht="22.5" customHeight="1">
      <c r="A179" s="62">
        <v>39295</v>
      </c>
      <c r="B179" s="61">
        <v>23.711242165529139</v>
      </c>
    </row>
    <row r="180" spans="1:2" ht="22.5" customHeight="1">
      <c r="A180" s="62">
        <v>39326</v>
      </c>
      <c r="B180" s="61">
        <v>23.954561876403009</v>
      </c>
    </row>
    <row r="181" spans="1:2" ht="22.5" customHeight="1">
      <c r="A181" s="62">
        <v>39356</v>
      </c>
      <c r="B181" s="61">
        <v>24.175282233325749</v>
      </c>
    </row>
    <row r="182" spans="1:2" ht="22.5" customHeight="1">
      <c r="A182" s="62">
        <v>39387</v>
      </c>
      <c r="B182" s="61">
        <v>24.42839499757844</v>
      </c>
    </row>
    <row r="183" spans="1:2" ht="22.5" customHeight="1">
      <c r="A183" s="62">
        <v>39417</v>
      </c>
      <c r="B183" s="61">
        <v>24.582070604446152</v>
      </c>
    </row>
    <row r="184" spans="1:2" ht="22.5" customHeight="1">
      <c r="A184" s="62">
        <v>39448</v>
      </c>
      <c r="B184" s="61">
        <v>24.776425048425889</v>
      </c>
    </row>
    <row r="185" spans="1:2" ht="22.5" customHeight="1">
      <c r="A185" s="62">
        <v>39479</v>
      </c>
      <c r="B185" s="61">
        <v>25.006185146929081</v>
      </c>
    </row>
    <row r="186" spans="1:2" ht="22.5" customHeight="1">
      <c r="A186" s="62">
        <v>39508</v>
      </c>
      <c r="B186" s="61">
        <v>25.285663824124772</v>
      </c>
    </row>
    <row r="187" spans="1:2" ht="22.5" customHeight="1">
      <c r="A187" s="62">
        <v>39539</v>
      </c>
      <c r="B187" s="61">
        <v>25.59753490865041</v>
      </c>
    </row>
    <row r="188" spans="1:2" ht="22.5" customHeight="1">
      <c r="A188" s="62">
        <v>39569</v>
      </c>
      <c r="B188" s="61">
        <v>25.870987091459121</v>
      </c>
    </row>
    <row r="189" spans="1:2" ht="22.5" customHeight="1">
      <c r="A189" s="62">
        <v>39600</v>
      </c>
      <c r="B189" s="61">
        <v>26.180598240589649</v>
      </c>
    </row>
    <row r="190" spans="1:2" ht="22.5" customHeight="1">
      <c r="A190" s="62">
        <v>39630</v>
      </c>
      <c r="B190" s="61">
        <v>26.37871924356125</v>
      </c>
    </row>
    <row r="191" spans="1:2" ht="22.5" customHeight="1">
      <c r="A191" s="62">
        <v>39661</v>
      </c>
      <c r="B191" s="61">
        <v>26.59868628868562</v>
      </c>
    </row>
    <row r="192" spans="1:2" ht="22.5" customHeight="1">
      <c r="A192" s="62">
        <v>39692</v>
      </c>
      <c r="B192" s="61">
        <v>26.747088712964729</v>
      </c>
    </row>
    <row r="193" spans="1:2" ht="22.5" customHeight="1">
      <c r="A193" s="62">
        <v>39722</v>
      </c>
      <c r="B193" s="61">
        <v>26.894737825445461</v>
      </c>
    </row>
    <row r="194" spans="1:2" ht="22.5" customHeight="1">
      <c r="A194" s="62">
        <v>39753</v>
      </c>
      <c r="B194" s="61">
        <v>26.82015995740672</v>
      </c>
    </row>
    <row r="195" spans="1:2" ht="22.5" customHeight="1">
      <c r="A195" s="62">
        <v>39783</v>
      </c>
      <c r="B195" s="61">
        <v>26.750101960158212</v>
      </c>
    </row>
    <row r="196" spans="1:2" ht="22.5" customHeight="1">
      <c r="A196" s="62">
        <v>39814</v>
      </c>
      <c r="B196" s="61">
        <v>26.728255918005448</v>
      </c>
    </row>
    <row r="197" spans="1:2" ht="22.5" customHeight="1">
      <c r="A197" s="62">
        <v>39845</v>
      </c>
      <c r="B197" s="61">
        <v>26.765921507924009</v>
      </c>
    </row>
    <row r="198" spans="1:2" ht="22.5" customHeight="1">
      <c r="A198" s="62">
        <v>39873</v>
      </c>
      <c r="B198" s="61">
        <v>27.072519409861052</v>
      </c>
    </row>
    <row r="199" spans="1:2" ht="22.5" customHeight="1">
      <c r="A199" s="62">
        <v>39904</v>
      </c>
      <c r="B199" s="61">
        <v>27.20058241558414</v>
      </c>
    </row>
    <row r="200" spans="1:2" ht="22.5" customHeight="1">
      <c r="A200" s="62">
        <v>39934</v>
      </c>
      <c r="B200" s="61">
        <v>27.330152044903969</v>
      </c>
    </row>
    <row r="201" spans="1:2" ht="22.5" customHeight="1">
      <c r="A201" s="62">
        <v>39965</v>
      </c>
      <c r="B201" s="61">
        <v>27.63900988223612</v>
      </c>
    </row>
    <row r="202" spans="1:2" ht="22.5" customHeight="1">
      <c r="A202" s="62">
        <v>39995</v>
      </c>
      <c r="B202" s="61">
        <v>27.98327337409172</v>
      </c>
    </row>
    <row r="203" spans="1:2" ht="22.5" customHeight="1">
      <c r="A203" s="62">
        <v>40026</v>
      </c>
      <c r="B203" s="61">
        <v>28.274805040061342</v>
      </c>
    </row>
    <row r="204" spans="1:2" ht="22.5" customHeight="1">
      <c r="A204" s="62">
        <v>40057</v>
      </c>
      <c r="B204" s="61">
        <v>28.56407677063585</v>
      </c>
    </row>
    <row r="205" spans="1:2" ht="22.5" customHeight="1">
      <c r="A205" s="62">
        <v>40087</v>
      </c>
      <c r="B205" s="61">
        <v>28.82848921186411</v>
      </c>
    </row>
    <row r="206" spans="1:2" ht="22.5" customHeight="1">
      <c r="A206" s="62">
        <v>40118</v>
      </c>
      <c r="B206" s="61">
        <v>29.132073866607669</v>
      </c>
    </row>
    <row r="207" spans="1:2" ht="22.5" customHeight="1">
      <c r="A207" s="62">
        <v>40148</v>
      </c>
      <c r="B207" s="61">
        <v>29.496676777019289</v>
      </c>
    </row>
    <row r="208" spans="1:2" ht="22.5" customHeight="1">
      <c r="A208" s="62">
        <v>40179</v>
      </c>
      <c r="B208" s="61">
        <v>29.894425406559229</v>
      </c>
    </row>
    <row r="209" spans="1:2" ht="22.5" customHeight="1">
      <c r="A209" s="62">
        <v>40210</v>
      </c>
      <c r="B209" s="61">
        <v>30.353945603565609</v>
      </c>
    </row>
    <row r="210" spans="1:2" ht="22.5" customHeight="1">
      <c r="A210" s="62">
        <v>40238</v>
      </c>
      <c r="B210" s="61">
        <v>30.81497242416874</v>
      </c>
    </row>
    <row r="211" spans="1:2" ht="22.5" customHeight="1">
      <c r="A211" s="62">
        <v>40269</v>
      </c>
      <c r="B211" s="61">
        <v>31.171288904798271</v>
      </c>
    </row>
    <row r="212" spans="1:2" ht="22.5" customHeight="1">
      <c r="A212" s="62">
        <v>40299</v>
      </c>
      <c r="B212" s="61">
        <v>31.547944803983832</v>
      </c>
    </row>
    <row r="213" spans="1:2" ht="22.5" customHeight="1">
      <c r="A213" s="62">
        <v>40330</v>
      </c>
      <c r="B213" s="61">
        <v>31.931380509354721</v>
      </c>
    </row>
    <row r="214" spans="1:2" ht="22.5" customHeight="1">
      <c r="A214" s="62">
        <v>40360</v>
      </c>
      <c r="B214" s="61">
        <v>32.24023834668688</v>
      </c>
    </row>
    <row r="215" spans="1:2" ht="22.5" customHeight="1">
      <c r="A215" s="62">
        <v>40391</v>
      </c>
      <c r="B215" s="61">
        <v>32.561902484591343</v>
      </c>
    </row>
    <row r="216" spans="1:2" ht="22.5" customHeight="1">
      <c r="A216" s="62">
        <v>40422</v>
      </c>
      <c r="B216" s="61">
        <v>32.865487139334903</v>
      </c>
    </row>
    <row r="217" spans="1:2" ht="22.5" customHeight="1">
      <c r="A217" s="62">
        <v>40452</v>
      </c>
      <c r="B217" s="61">
        <v>33.163045299691497</v>
      </c>
    </row>
    <row r="218" spans="1:2" ht="22.5" customHeight="1">
      <c r="A218" s="62">
        <v>40483</v>
      </c>
      <c r="B218" s="61">
        <v>33.475669696015501</v>
      </c>
    </row>
    <row r="219" spans="1:2" ht="22.5" customHeight="1">
      <c r="A219" s="62">
        <v>40513</v>
      </c>
      <c r="B219" s="61">
        <v>33.791307339532999</v>
      </c>
    </row>
    <row r="220" spans="1:2" ht="22.5" customHeight="1">
      <c r="A220" s="62">
        <v>40544</v>
      </c>
      <c r="B220" s="61">
        <v>34.161183432533221</v>
      </c>
    </row>
    <row r="221" spans="1:2" ht="22.5" customHeight="1">
      <c r="A221" s="62">
        <v>40575</v>
      </c>
      <c r="B221" s="61">
        <v>34.479081011445828</v>
      </c>
    </row>
    <row r="222" spans="1:2" ht="22.5" customHeight="1">
      <c r="A222" s="62">
        <v>40603</v>
      </c>
      <c r="B222" s="61">
        <v>34.81053820272912</v>
      </c>
    </row>
    <row r="223" spans="1:2" ht="22.5" customHeight="1">
      <c r="A223" s="62">
        <v>40634</v>
      </c>
      <c r="B223" s="61">
        <v>35.160074877173322</v>
      </c>
    </row>
    <row r="224" spans="1:2" ht="22.5" customHeight="1">
      <c r="A224" s="62">
        <v>40664</v>
      </c>
      <c r="B224" s="61">
        <v>35.521664540391448</v>
      </c>
    </row>
    <row r="225" spans="1:2" ht="22.5" customHeight="1">
      <c r="A225" s="62">
        <v>40695</v>
      </c>
      <c r="B225" s="61">
        <v>35.926946287915108</v>
      </c>
    </row>
    <row r="226" spans="1:2" ht="22.5" customHeight="1">
      <c r="A226" s="62">
        <v>40725</v>
      </c>
      <c r="B226" s="61">
        <v>36.288535951133241</v>
      </c>
    </row>
    <row r="227" spans="1:2" ht="22.5" customHeight="1">
      <c r="A227" s="62">
        <v>40756</v>
      </c>
      <c r="B227" s="61">
        <v>36.656905420536717</v>
      </c>
    </row>
    <row r="228" spans="1:2" ht="22.5" customHeight="1">
      <c r="A228" s="62">
        <v>40787</v>
      </c>
      <c r="B228" s="61">
        <v>37.032808007923897</v>
      </c>
    </row>
    <row r="229" spans="1:2" ht="22.5" customHeight="1">
      <c r="A229" s="62">
        <v>40817</v>
      </c>
      <c r="B229" s="61">
        <v>37.370291693594147</v>
      </c>
    </row>
    <row r="230" spans="1:2" ht="22.5" customHeight="1">
      <c r="A230" s="62">
        <v>40848</v>
      </c>
      <c r="B230" s="61">
        <v>37.726608174223692</v>
      </c>
    </row>
    <row r="231" spans="1:2" ht="22.5" customHeight="1">
      <c r="A231" s="62">
        <v>40878</v>
      </c>
      <c r="B231" s="61">
        <v>38.073884913272778</v>
      </c>
    </row>
    <row r="232" spans="1:2" ht="22.5" customHeight="1">
      <c r="A232" s="62">
        <v>40909</v>
      </c>
      <c r="B232" s="61">
        <v>38.438487823684397</v>
      </c>
    </row>
    <row r="233" spans="1:2" ht="22.5" customHeight="1">
      <c r="A233" s="62">
        <v>40940</v>
      </c>
      <c r="B233" s="61">
        <v>38.818156970063427</v>
      </c>
    </row>
    <row r="234" spans="1:2" ht="22.5" customHeight="1">
      <c r="A234" s="62">
        <v>40969</v>
      </c>
      <c r="B234" s="61">
        <v>39.276923855271441</v>
      </c>
    </row>
    <row r="235" spans="1:2" ht="22.5" customHeight="1">
      <c r="A235" s="62">
        <v>41000</v>
      </c>
      <c r="B235" s="61">
        <v>39.721377816310387</v>
      </c>
    </row>
    <row r="236" spans="1:2" ht="22.5" customHeight="1">
      <c r="A236" s="62">
        <v>41030</v>
      </c>
      <c r="B236" s="61">
        <v>40.126659563834053</v>
      </c>
    </row>
    <row r="237" spans="1:2" ht="22.5" customHeight="1">
      <c r="A237" s="62">
        <v>41061</v>
      </c>
      <c r="B237" s="61">
        <v>40.524408193374008</v>
      </c>
    </row>
    <row r="238" spans="1:2" ht="22.5" customHeight="1">
      <c r="A238" s="62">
        <v>41091</v>
      </c>
      <c r="B238" s="61">
        <v>40.917636952123722</v>
      </c>
    </row>
    <row r="239" spans="1:2" ht="22.5" customHeight="1">
      <c r="A239" s="62">
        <v>41122</v>
      </c>
      <c r="B239" s="61">
        <v>41.340998182808292</v>
      </c>
    </row>
    <row r="240" spans="1:2" ht="22.5" customHeight="1">
      <c r="A240" s="62">
        <v>41153</v>
      </c>
      <c r="B240" s="61">
        <v>41.801271691613039</v>
      </c>
    </row>
    <row r="241" spans="1:2" ht="22.5" customHeight="1">
      <c r="A241" s="62">
        <v>41183</v>
      </c>
      <c r="B241" s="61">
        <v>42.23367266387806</v>
      </c>
    </row>
    <row r="242" spans="1:2" ht="22.5" customHeight="1">
      <c r="A242" s="62">
        <v>41214</v>
      </c>
      <c r="B242" s="61">
        <v>42.657787206360993</v>
      </c>
    </row>
    <row r="243" spans="1:2" ht="22.5" customHeight="1">
      <c r="A243" s="62">
        <v>41244</v>
      </c>
      <c r="B243" s="61">
        <v>43.072108695465111</v>
      </c>
    </row>
    <row r="244" spans="1:2" ht="22.5" customHeight="1">
      <c r="A244" s="62">
        <v>41275</v>
      </c>
      <c r="B244" s="61">
        <v>43.509782850318729</v>
      </c>
    </row>
    <row r="245" spans="1:2" ht="22.5" customHeight="1">
      <c r="A245" s="62">
        <v>41306</v>
      </c>
      <c r="B245" s="61">
        <v>43.969303047325099</v>
      </c>
    </row>
    <row r="246" spans="1:2" ht="22.5" customHeight="1">
      <c r="A246" s="62">
        <v>41334</v>
      </c>
      <c r="B246" s="61">
        <v>44.412250384767312</v>
      </c>
    </row>
    <row r="247" spans="1:2" ht="22.5" customHeight="1">
      <c r="A247" s="62">
        <v>41365</v>
      </c>
      <c r="B247" s="61">
        <v>44.838624862645368</v>
      </c>
    </row>
    <row r="248" spans="1:2" ht="22.5" customHeight="1">
      <c r="A248" s="62">
        <v>41395</v>
      </c>
      <c r="B248" s="61">
        <v>45.402102087826961</v>
      </c>
    </row>
    <row r="249" spans="1:2" ht="22.5" customHeight="1">
      <c r="A249" s="62">
        <v>41426</v>
      </c>
      <c r="B249" s="61">
        <v>46.013037956305929</v>
      </c>
    </row>
    <row r="250" spans="1:2" ht="22.5" customHeight="1">
      <c r="A250" s="62">
        <v>41456</v>
      </c>
      <c r="B250" s="61">
        <v>46.534329720778743</v>
      </c>
    </row>
    <row r="251" spans="1:2" ht="22.5" customHeight="1">
      <c r="A251" s="62">
        <v>41487</v>
      </c>
      <c r="B251" s="61">
        <v>47.060894667840152</v>
      </c>
    </row>
    <row r="252" spans="1:2" ht="22.5" customHeight="1">
      <c r="A252" s="62">
        <v>41518</v>
      </c>
      <c r="B252" s="61">
        <v>47.575406626127617</v>
      </c>
    </row>
    <row r="253" spans="1:2" ht="22.5" customHeight="1">
      <c r="A253" s="62">
        <v>41548</v>
      </c>
      <c r="B253" s="61">
        <v>48.11779112095482</v>
      </c>
    </row>
    <row r="254" spans="1:2" ht="22.5" customHeight="1">
      <c r="A254" s="62">
        <v>41579</v>
      </c>
      <c r="B254" s="61">
        <v>48.703114388289173</v>
      </c>
    </row>
    <row r="255" spans="1:2" ht="22.5" customHeight="1">
      <c r="A255" s="62">
        <v>41609</v>
      </c>
      <c r="B255" s="61">
        <v>49.430060273717302</v>
      </c>
    </row>
    <row r="256" spans="1:2" ht="22.5" customHeight="1">
      <c r="A256" s="62">
        <v>41640</v>
      </c>
      <c r="B256" s="61">
        <v>51.878323618423423</v>
      </c>
    </row>
    <row r="257" spans="1:2" ht="22.5" customHeight="1">
      <c r="A257" s="62">
        <v>41671</v>
      </c>
      <c r="B257" s="61">
        <v>54.535254331278338</v>
      </c>
    </row>
    <row r="258" spans="1:2" ht="22.5" customHeight="1">
      <c r="A258" s="62">
        <v>41699</v>
      </c>
      <c r="B258" s="61">
        <v>55.862589720008231</v>
      </c>
    </row>
    <row r="259" spans="1:2" ht="22.5" customHeight="1">
      <c r="A259" s="62">
        <v>41730</v>
      </c>
      <c r="B259" s="61">
        <v>56.823062262931387</v>
      </c>
    </row>
    <row r="260" spans="1:2" ht="22.5" customHeight="1">
      <c r="A260" s="62">
        <v>41760</v>
      </c>
      <c r="B260" s="61">
        <v>57.884478586836288</v>
      </c>
    </row>
    <row r="261" spans="1:2" ht="22.5" customHeight="1">
      <c r="A261" s="62">
        <v>41791</v>
      </c>
      <c r="B261" s="61">
        <v>58.756060337551681</v>
      </c>
    </row>
    <row r="262" spans="1:2" ht="22.5" customHeight="1">
      <c r="A262" s="62">
        <v>41821</v>
      </c>
      <c r="B262" s="61">
        <v>59.547037725841342</v>
      </c>
    </row>
    <row r="263" spans="1:2" ht="22.5" customHeight="1">
      <c r="A263" s="62">
        <v>41852</v>
      </c>
      <c r="B263" s="61">
        <v>60.518809945740081</v>
      </c>
    </row>
    <row r="264" spans="1:2" ht="22.5" customHeight="1">
      <c r="A264" s="62">
        <v>41883</v>
      </c>
      <c r="B264" s="61">
        <v>61.48380235945347</v>
      </c>
    </row>
    <row r="265" spans="1:2" ht="22.5" customHeight="1">
      <c r="A265" s="62">
        <v>41913</v>
      </c>
      <c r="B265" s="61">
        <v>62.237114157824593</v>
      </c>
    </row>
    <row r="266" spans="1:2" ht="22.5" customHeight="1">
      <c r="A266" s="62">
        <v>41944</v>
      </c>
      <c r="B266" s="61">
        <v>62.805111253796397</v>
      </c>
    </row>
    <row r="267" spans="1:2" ht="22.5" customHeight="1">
      <c r="A267" s="62">
        <v>41974</v>
      </c>
      <c r="B267" s="61">
        <v>63.403240821703058</v>
      </c>
    </row>
    <row r="268" spans="1:2" ht="22.5" customHeight="1">
      <c r="A268" s="62">
        <v>42005</v>
      </c>
      <c r="B268" s="61">
        <v>63.530550515627787</v>
      </c>
    </row>
    <row r="269" spans="1:2" ht="22.5" customHeight="1">
      <c r="A269" s="62">
        <v>42036</v>
      </c>
      <c r="B269" s="61">
        <v>63.688745993285721</v>
      </c>
    </row>
    <row r="270" spans="1:2" ht="22.5" customHeight="1">
      <c r="A270" s="62">
        <v>42064</v>
      </c>
      <c r="B270" s="61">
        <v>64.313241474135367</v>
      </c>
    </row>
    <row r="271" spans="1:2" ht="22.5" customHeight="1">
      <c r="A271" s="62">
        <v>42095</v>
      </c>
      <c r="B271" s="61">
        <v>64.792347777899408</v>
      </c>
    </row>
    <row r="272" spans="1:2" ht="22.5" customHeight="1">
      <c r="A272" s="62">
        <v>42125</v>
      </c>
      <c r="B272" s="61">
        <v>65.752820320822565</v>
      </c>
    </row>
    <row r="273" spans="1:26" ht="22.5" customHeight="1">
      <c r="A273" s="62">
        <v>42156</v>
      </c>
      <c r="B273" s="61">
        <v>66.617622265352608</v>
      </c>
    </row>
    <row r="274" spans="1:26" ht="22.5" customHeight="1">
      <c r="A274" s="62">
        <v>42186</v>
      </c>
      <c r="B274" s="61">
        <v>67.575081561082285</v>
      </c>
    </row>
    <row r="275" spans="1:26" ht="22.5" customHeight="1">
      <c r="A275" s="62">
        <v>42217</v>
      </c>
      <c r="B275" s="61">
        <v>68.540073974795689</v>
      </c>
    </row>
    <row r="276" spans="1:26" ht="22.5" customHeight="1">
      <c r="A276" s="62">
        <v>42248</v>
      </c>
      <c r="B276" s="61">
        <v>69.465894174993778</v>
      </c>
    </row>
    <row r="277" spans="1:26" ht="22.5" customHeight="1">
      <c r="A277" s="62">
        <v>42278</v>
      </c>
      <c r="B277" s="61">
        <v>70.109975762601096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2.5" customHeight="1">
      <c r="A278" s="62">
        <v>42309</v>
      </c>
      <c r="B278" s="61">
        <v>71.512175277853103</v>
      </c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2.5" customHeight="1">
      <c r="A279" s="62">
        <v>42339</v>
      </c>
      <c r="B279" s="61">
        <v>74.301150113689374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2.5" customHeight="1">
      <c r="A280" s="62">
        <v>42370</v>
      </c>
      <c r="B280" s="61">
        <v>80.988253623921409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2.5" customHeight="1">
      <c r="A281" s="62">
        <v>42401</v>
      </c>
      <c r="B281" s="61">
        <v>85.037666305117483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2.5" customHeight="1">
      <c r="A282" s="62">
        <v>42430</v>
      </c>
      <c r="B282" s="61">
        <v>87.078570296440319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2.5" customHeight="1">
      <c r="A283" s="62">
        <v>42461</v>
      </c>
      <c r="B283" s="61">
        <v>88.384748850886908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2.5" customHeight="1">
      <c r="A284" s="62">
        <v>42491</v>
      </c>
      <c r="B284" s="61">
        <v>91.566599809518848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2.5" customHeight="1">
      <c r="A285" s="62">
        <v>42522</v>
      </c>
      <c r="B285" s="61">
        <v>94.222031203994888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2.5" customHeight="1">
      <c r="A286" s="62">
        <v>42552</v>
      </c>
      <c r="B286" s="61">
        <v>96.766026046502745</v>
      </c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2.5" customHeight="1">
      <c r="A287" s="62">
        <v>42583</v>
      </c>
      <c r="B287" s="61">
        <v>97.153090150688755</v>
      </c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2.5" customHeight="1">
      <c r="A288" s="62">
        <v>42614</v>
      </c>
      <c r="B288" s="61">
        <v>97.541702511291518</v>
      </c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2.5" customHeight="1">
      <c r="A289" s="62">
        <v>42644</v>
      </c>
      <c r="B289" s="61">
        <v>98.126952726359278</v>
      </c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2.5" customHeight="1">
      <c r="A290" s="62">
        <v>42675</v>
      </c>
      <c r="B290" s="61">
        <v>99.206349206349216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2.5" customHeight="1">
      <c r="A291" s="62">
        <v>42705</v>
      </c>
      <c r="B291" s="61">
        <v>100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2.5" customHeight="1">
      <c r="A292" s="62">
        <v>42736</v>
      </c>
      <c r="B292" s="61">
        <v>101.5859</v>
      </c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2.5" customHeight="1">
      <c r="A293" s="62">
        <v>42767</v>
      </c>
      <c r="B293" s="61">
        <v>103.6859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2.5" customHeight="1">
      <c r="A294" s="62">
        <v>42795</v>
      </c>
      <c r="B294" s="61">
        <v>106.1476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2.5" customHeight="1">
      <c r="A295" s="62">
        <v>42826</v>
      </c>
      <c r="B295" s="61">
        <v>108.9667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2.5" customHeight="1">
      <c r="A296" s="62">
        <v>42856</v>
      </c>
      <c r="B296" s="61">
        <v>110.5301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2.5" customHeight="1">
      <c r="A297" s="62">
        <v>42887</v>
      </c>
      <c r="B297" s="61">
        <v>111.8477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2.5" customHeight="1">
      <c r="A298" s="62">
        <v>42917</v>
      </c>
      <c r="B298" s="61">
        <v>113.7852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2.5" customHeight="1">
      <c r="A299" s="62">
        <v>42948</v>
      </c>
      <c r="B299" s="61">
        <v>115.3819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2.5" customHeight="1">
      <c r="A300" s="62">
        <v>42979</v>
      </c>
      <c r="B300" s="61">
        <v>117.5719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2.5" customHeight="1">
      <c r="A301" s="62">
        <v>43009</v>
      </c>
      <c r="B301" s="61">
        <v>119.3528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2.5" customHeight="1">
      <c r="A302" s="62">
        <v>43040</v>
      </c>
      <c r="B302" s="61">
        <v>120.994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2.5" customHeight="1">
      <c r="A303" s="62">
        <v>43070</v>
      </c>
      <c r="B303" s="61">
        <v>124.79559999999999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2.5" customHeight="1">
      <c r="A304" s="62">
        <v>43101</v>
      </c>
      <c r="B304" s="61">
        <v>126.98869999999999</v>
      </c>
    </row>
    <row r="305" spans="1:5" ht="22.5" customHeight="1">
      <c r="A305" s="62">
        <v>43132</v>
      </c>
      <c r="B305" s="61">
        <v>130.06059999999999</v>
      </c>
    </row>
    <row r="306" spans="1:5" ht="22.5" customHeight="1">
      <c r="A306" s="62">
        <v>43160</v>
      </c>
      <c r="B306" s="61">
        <v>133.1054</v>
      </c>
    </row>
    <row r="307" spans="1:5" ht="22.5" customHeight="1">
      <c r="A307" s="62">
        <v>43191</v>
      </c>
      <c r="B307" s="61">
        <v>136.75120000000001</v>
      </c>
    </row>
    <row r="308" spans="1:5" ht="22.5" customHeight="1">
      <c r="A308" s="62">
        <v>43221</v>
      </c>
      <c r="B308" s="61">
        <v>139.58930000000001</v>
      </c>
    </row>
    <row r="309" spans="1:5" ht="22.5" customHeight="1">
      <c r="A309" s="62">
        <v>43252</v>
      </c>
      <c r="B309" s="61">
        <v>144.80529999999999</v>
      </c>
    </row>
    <row r="310" spans="1:5" ht="22.5" customHeight="1">
      <c r="A310" s="62">
        <v>43282</v>
      </c>
      <c r="B310" s="61">
        <v>149.29660000000001</v>
      </c>
    </row>
    <row r="311" spans="1:5" ht="22.5" customHeight="1">
      <c r="A311" s="63">
        <v>43313</v>
      </c>
      <c r="B311" s="64">
        <v>155.10339999999999</v>
      </c>
    </row>
    <row r="312" spans="1:5" ht="22.5" customHeight="1">
      <c r="A312" s="62">
        <v>43344</v>
      </c>
      <c r="B312" s="61">
        <v>165.23830000000001</v>
      </c>
    </row>
    <row r="313" spans="1:5" ht="22.5" customHeight="1">
      <c r="A313" s="62">
        <v>43374</v>
      </c>
      <c r="B313" s="61">
        <v>174.1473</v>
      </c>
    </row>
    <row r="314" spans="1:5" ht="22.5" customHeight="1">
      <c r="A314" s="62">
        <v>43405</v>
      </c>
      <c r="B314" s="61">
        <v>179.6388</v>
      </c>
    </row>
    <row r="315" spans="1:5" ht="22.5" customHeight="1">
      <c r="A315" s="62">
        <v>43435</v>
      </c>
      <c r="B315" s="61">
        <v>184.2552</v>
      </c>
    </row>
    <row r="316" spans="1:5" ht="22.5" customHeight="1">
      <c r="A316" s="62">
        <v>43466</v>
      </c>
      <c r="B316" s="61">
        <v>189.61009999999999</v>
      </c>
      <c r="D316" s="65"/>
      <c r="E316" s="66"/>
    </row>
    <row r="317" spans="1:5" ht="22.5" customHeight="1">
      <c r="A317" s="62">
        <v>43497</v>
      </c>
      <c r="B317" s="61">
        <v>196.7501</v>
      </c>
      <c r="D317" s="65"/>
      <c r="E317" s="66"/>
    </row>
    <row r="318" spans="1:5" ht="22.5" customHeight="1">
      <c r="A318" s="62">
        <v>43525</v>
      </c>
      <c r="B318" s="61">
        <v>205.9571</v>
      </c>
      <c r="D318" s="65"/>
      <c r="E318" s="66"/>
    </row>
    <row r="319" spans="1:5" ht="22.5" customHeight="1">
      <c r="A319" s="62">
        <v>43556</v>
      </c>
      <c r="B319" s="61">
        <v>213.05170000000001</v>
      </c>
      <c r="D319" s="65"/>
      <c r="E319" s="66"/>
    </row>
    <row r="320" spans="1:5" ht="22.5" customHeight="1">
      <c r="A320" s="62">
        <v>43586</v>
      </c>
      <c r="B320" s="61">
        <v>219.56909999999999</v>
      </c>
      <c r="D320" s="65"/>
      <c r="E320" s="66"/>
    </row>
    <row r="321" spans="1:7" ht="22.5" customHeight="1">
      <c r="A321" s="62">
        <v>43617</v>
      </c>
      <c r="B321" s="61">
        <v>225.53700000000001</v>
      </c>
      <c r="D321" s="65"/>
      <c r="E321" s="66"/>
    </row>
    <row r="322" spans="1:7" ht="22.5" customHeight="1">
      <c r="A322" s="62">
        <v>43647</v>
      </c>
      <c r="B322" s="61">
        <v>230.494</v>
      </c>
      <c r="D322" s="65"/>
      <c r="E322" s="66"/>
    </row>
    <row r="323" spans="1:7" ht="22.5" customHeight="1">
      <c r="A323" s="62">
        <v>43678</v>
      </c>
      <c r="B323" s="61">
        <v>239.60769999999999</v>
      </c>
      <c r="D323" s="65"/>
      <c r="E323" s="66"/>
    </row>
    <row r="324" spans="1:7" ht="22.5" customHeight="1">
      <c r="A324" s="62">
        <v>43709</v>
      </c>
      <c r="B324" s="61">
        <v>253.71019999999999</v>
      </c>
      <c r="D324" s="65"/>
      <c r="E324" s="66"/>
    </row>
    <row r="325" spans="1:7" ht="22.5" customHeight="1">
      <c r="A325" s="62">
        <v>43739</v>
      </c>
      <c r="B325" s="61">
        <v>262.06610000000001</v>
      </c>
      <c r="D325" s="65"/>
      <c r="E325" s="66"/>
      <c r="G325" s="66"/>
    </row>
    <row r="326" spans="1:7" ht="22.5" customHeight="1">
      <c r="A326" s="62">
        <v>43770</v>
      </c>
      <c r="B326" s="61">
        <v>273.2158</v>
      </c>
      <c r="D326" s="65"/>
      <c r="E326" s="66"/>
      <c r="G326" s="66"/>
    </row>
    <row r="327" spans="1:7" ht="22.5" customHeight="1">
      <c r="A327" s="62">
        <v>43800</v>
      </c>
      <c r="B327" s="61">
        <v>283.44420000000002</v>
      </c>
      <c r="D327" s="65"/>
      <c r="E327" s="66"/>
      <c r="G327" s="66"/>
    </row>
    <row r="328" spans="1:7" ht="22.5" customHeight="1">
      <c r="A328" s="62">
        <v>43831</v>
      </c>
      <c r="B328" s="61">
        <v>289.82990000000001</v>
      </c>
      <c r="C328" s="65"/>
      <c r="D328" s="65"/>
      <c r="E328" s="66"/>
      <c r="G328" s="66"/>
    </row>
    <row r="329" spans="1:7" ht="22.5" customHeight="1">
      <c r="A329" s="62">
        <v>43862</v>
      </c>
      <c r="B329" s="61">
        <v>295.666</v>
      </c>
      <c r="C329" s="65"/>
      <c r="D329" s="65"/>
      <c r="E329" s="66"/>
      <c r="F329" s="66"/>
      <c r="G329" s="66"/>
    </row>
    <row r="330" spans="1:7" ht="22.5" customHeight="1">
      <c r="A330" s="62">
        <v>43891</v>
      </c>
      <c r="B330" s="61">
        <v>305.55149999999998</v>
      </c>
      <c r="C330" s="65"/>
      <c r="D330" s="65"/>
      <c r="E330" s="66"/>
      <c r="F330" s="66"/>
      <c r="G330" s="66"/>
    </row>
    <row r="331" spans="1:7" ht="22.5" customHeight="1">
      <c r="A331" s="62">
        <v>43922</v>
      </c>
      <c r="B331" s="61">
        <v>310.12430000000001</v>
      </c>
      <c r="C331" s="65"/>
      <c r="D331" s="65"/>
      <c r="E331" s="66"/>
      <c r="F331" s="66"/>
      <c r="G331" s="66"/>
    </row>
    <row r="332" spans="1:7" ht="22.5" customHeight="1">
      <c r="A332" s="62">
        <v>43952</v>
      </c>
      <c r="B332" s="61">
        <v>314.90870000000001</v>
      </c>
      <c r="C332" s="65"/>
      <c r="D332" s="65"/>
      <c r="E332" s="66"/>
      <c r="F332" s="65"/>
      <c r="G332" s="65"/>
    </row>
    <row r="333" spans="1:7" ht="22.5" customHeight="1">
      <c r="A333" s="62">
        <v>43983</v>
      </c>
      <c r="B333" s="61">
        <v>321.97379999999998</v>
      </c>
      <c r="C333" s="65"/>
      <c r="D333" s="67"/>
      <c r="E333" s="66"/>
      <c r="F333" s="66"/>
      <c r="G333" s="66"/>
    </row>
    <row r="334" spans="1:7" ht="22.5" customHeight="1">
      <c r="A334" s="62">
        <v>44013</v>
      </c>
      <c r="B334" s="61">
        <v>328.20139999999998</v>
      </c>
      <c r="C334" s="65"/>
      <c r="D334" s="67"/>
      <c r="E334" s="66"/>
      <c r="F334" s="65"/>
      <c r="G334" s="66"/>
    </row>
    <row r="335" spans="1:7" ht="21" customHeight="1">
      <c r="A335" s="62">
        <v>44044</v>
      </c>
      <c r="B335" s="61">
        <v>337.06319999999999</v>
      </c>
      <c r="D335" s="67"/>
      <c r="E335" s="66"/>
      <c r="G335" s="66"/>
    </row>
    <row r="336" spans="1:7" ht="21" customHeight="1">
      <c r="A336" s="62">
        <v>44075</v>
      </c>
      <c r="B336" s="61">
        <v>346.6207</v>
      </c>
      <c r="D336" s="67"/>
      <c r="E336" s="66"/>
      <c r="G336" s="66"/>
    </row>
    <row r="337" spans="1:9" ht="21" customHeight="1">
      <c r="A337" s="62">
        <v>44105</v>
      </c>
      <c r="B337" s="61">
        <v>359.65699999999998</v>
      </c>
      <c r="D337" s="67"/>
      <c r="E337" s="66"/>
      <c r="G337" s="66"/>
    </row>
    <row r="338" spans="1:9" ht="21" customHeight="1">
      <c r="A338" s="62">
        <v>44136</v>
      </c>
      <c r="B338" s="61">
        <v>371.02109999999999</v>
      </c>
      <c r="D338" s="67"/>
      <c r="E338" s="66"/>
      <c r="G338" s="66"/>
    </row>
    <row r="339" spans="1:9" ht="21" customHeight="1">
      <c r="A339" s="62">
        <v>44166</v>
      </c>
      <c r="B339" s="61">
        <v>385.88260000000002</v>
      </c>
      <c r="D339" s="67"/>
      <c r="E339" s="66"/>
      <c r="G339" s="66"/>
    </row>
    <row r="340" spans="1:9" ht="21" customHeight="1">
      <c r="A340" s="62">
        <v>44197</v>
      </c>
      <c r="B340" s="61">
        <v>401.50709999999998</v>
      </c>
      <c r="D340" s="68"/>
      <c r="E340" s="66"/>
      <c r="G340" s="66"/>
    </row>
    <row r="341" spans="1:9" ht="21" customHeight="1">
      <c r="A341" s="62">
        <v>44228</v>
      </c>
      <c r="B341" s="61">
        <v>415.85950000000003</v>
      </c>
      <c r="C341" s="66"/>
      <c r="D341" s="68"/>
      <c r="E341" s="66"/>
      <c r="F341" s="69"/>
      <c r="G341" s="66"/>
    </row>
    <row r="342" spans="1:9" ht="21" customHeight="1">
      <c r="A342" s="62">
        <v>44256</v>
      </c>
      <c r="B342" s="61">
        <v>435.8657</v>
      </c>
      <c r="C342" s="66"/>
      <c r="D342" s="68"/>
      <c r="E342" s="66"/>
      <c r="F342" s="69"/>
      <c r="G342" s="66"/>
    </row>
    <row r="343" spans="1:9" ht="21" customHeight="1">
      <c r="A343" s="62">
        <v>44287</v>
      </c>
      <c r="B343" s="61">
        <v>453.65030000000002</v>
      </c>
      <c r="C343" s="66"/>
      <c r="D343" s="68"/>
      <c r="E343" s="66"/>
      <c r="F343" s="69"/>
      <c r="G343" s="66"/>
    </row>
    <row r="344" spans="1:9" ht="21" customHeight="1">
      <c r="A344" s="62">
        <v>44317</v>
      </c>
      <c r="B344" s="61">
        <v>468.72500000000002</v>
      </c>
      <c r="C344" s="66"/>
      <c r="D344" s="68"/>
      <c r="E344" s="66"/>
      <c r="F344" s="69"/>
      <c r="G344" s="66"/>
    </row>
    <row r="345" spans="1:9" ht="21" customHeight="1">
      <c r="A345" s="62">
        <v>44348</v>
      </c>
      <c r="B345" s="61">
        <v>483.60489999999999</v>
      </c>
      <c r="C345" s="66"/>
      <c r="D345" s="68"/>
      <c r="E345" s="66"/>
      <c r="F345" s="69"/>
      <c r="G345" s="66"/>
    </row>
    <row r="346" spans="1:9" ht="21" customHeight="1">
      <c r="A346" s="62">
        <v>44378</v>
      </c>
      <c r="B346" s="61">
        <v>498.09870000000001</v>
      </c>
      <c r="C346" s="66"/>
      <c r="D346" s="68"/>
      <c r="E346" s="66"/>
      <c r="F346" s="69"/>
      <c r="G346" s="66"/>
    </row>
    <row r="347" spans="1:9" ht="21" customHeight="1">
      <c r="A347" s="62">
        <v>44409</v>
      </c>
      <c r="B347" s="61">
        <v>510.39420000000001</v>
      </c>
      <c r="C347" s="66"/>
      <c r="D347" s="68"/>
      <c r="E347" s="66"/>
      <c r="F347" s="69"/>
      <c r="G347" s="66"/>
    </row>
    <row r="348" spans="1:9" ht="21" customHeight="1">
      <c r="A348" s="62">
        <v>44440</v>
      </c>
      <c r="B348" s="61">
        <v>528.49680000000001</v>
      </c>
      <c r="C348" s="66"/>
      <c r="D348" s="68"/>
      <c r="E348" s="66"/>
      <c r="F348" s="69"/>
      <c r="G348" s="66"/>
    </row>
    <row r="349" spans="1:9" ht="21" customHeight="1">
      <c r="A349" s="62">
        <v>44470</v>
      </c>
      <c r="B349" s="61">
        <v>547.08019999999999</v>
      </c>
      <c r="C349" s="66"/>
      <c r="D349" s="68"/>
      <c r="E349" s="66"/>
      <c r="F349" s="69"/>
      <c r="G349" s="66"/>
    </row>
    <row r="350" spans="1:9" ht="21" customHeight="1">
      <c r="A350" s="62">
        <v>44501</v>
      </c>
      <c r="B350" s="61">
        <v>560.91840000000002</v>
      </c>
      <c r="C350" s="66"/>
      <c r="D350" s="68"/>
      <c r="E350" s="66"/>
      <c r="F350" s="69"/>
      <c r="G350" s="66"/>
    </row>
    <row r="351" spans="1:9" ht="21" customHeight="1">
      <c r="A351" s="62">
        <v>44531</v>
      </c>
      <c r="B351" s="61">
        <v>582.45749999999998</v>
      </c>
      <c r="C351" s="66"/>
      <c r="D351" s="68"/>
      <c r="E351" s="66"/>
      <c r="F351" s="69"/>
      <c r="G351" s="66"/>
    </row>
    <row r="352" spans="1:9" ht="21" customHeight="1">
      <c r="A352" s="62">
        <v>44562</v>
      </c>
      <c r="B352" s="61">
        <v>605.0317</v>
      </c>
      <c r="C352" s="66"/>
      <c r="D352" s="65"/>
      <c r="E352" s="65"/>
      <c r="F352" s="65"/>
      <c r="G352" s="65"/>
      <c r="H352" s="65"/>
      <c r="I352" s="65"/>
    </row>
    <row r="353" spans="1:8" ht="21" customHeight="1">
      <c r="A353" s="62">
        <v>44593</v>
      </c>
      <c r="B353" s="61">
        <v>633.43409999999994</v>
      </c>
      <c r="C353" s="66"/>
      <c r="D353" s="68"/>
      <c r="E353" s="66"/>
      <c r="F353" s="69"/>
      <c r="G353" s="66"/>
    </row>
    <row r="354" spans="1:8" ht="21" customHeight="1">
      <c r="A354" s="62">
        <v>44621</v>
      </c>
      <c r="B354" s="61">
        <v>676.0566</v>
      </c>
      <c r="D354" s="65"/>
      <c r="E354" s="65"/>
      <c r="F354" s="65"/>
      <c r="G354" s="65"/>
      <c r="H354" s="65"/>
    </row>
    <row r="355" spans="1:8" ht="21" customHeight="1">
      <c r="A355" s="62">
        <v>44652</v>
      </c>
      <c r="B355" s="61">
        <v>716.93989999999997</v>
      </c>
      <c r="D355" s="68"/>
      <c r="E355" s="66"/>
      <c r="F355" s="69"/>
      <c r="G355" s="66"/>
    </row>
    <row r="356" spans="1:8" ht="21" customHeight="1">
      <c r="A356" s="62">
        <v>44682</v>
      </c>
      <c r="B356" s="61">
        <v>753.14700000000005</v>
      </c>
      <c r="D356" s="68"/>
      <c r="E356" s="66"/>
      <c r="F356" s="69"/>
      <c r="G356" s="66"/>
    </row>
    <row r="357" spans="1:8" ht="21" customHeight="1">
      <c r="A357" s="62">
        <v>44713</v>
      </c>
      <c r="B357" s="61">
        <v>793.02779999999996</v>
      </c>
      <c r="D357" s="66"/>
      <c r="E357" s="66"/>
      <c r="F357" s="69"/>
      <c r="G357" s="66"/>
    </row>
    <row r="358" spans="1:8" ht="21" customHeight="1">
      <c r="A358" s="62">
        <v>44743</v>
      </c>
      <c r="B358" s="61">
        <v>851.76099999999997</v>
      </c>
      <c r="D358" s="66"/>
      <c r="E358" s="66"/>
      <c r="F358" s="69"/>
      <c r="G358" s="66"/>
    </row>
    <row r="359" spans="1:8" ht="21" customHeight="1">
      <c r="A359" s="62">
        <v>44774</v>
      </c>
      <c r="B359" s="61">
        <v>911.13160000000005</v>
      </c>
      <c r="D359" s="66"/>
      <c r="E359" s="66"/>
      <c r="F359" s="69"/>
      <c r="G359" s="66"/>
    </row>
    <row r="360" spans="1:8" ht="21" customHeight="1">
      <c r="A360" s="62">
        <v>44805</v>
      </c>
      <c r="B360" s="61">
        <v>967.30759999999998</v>
      </c>
      <c r="D360" s="66"/>
      <c r="E360" s="66"/>
      <c r="F360" s="69"/>
      <c r="G360" s="66"/>
    </row>
    <row r="361" spans="1:8" ht="21" customHeight="1">
      <c r="A361" s="62">
        <v>44835</v>
      </c>
      <c r="B361" s="61">
        <v>1028.7059999999999</v>
      </c>
      <c r="D361" s="66"/>
      <c r="E361" s="66"/>
      <c r="F361" s="69"/>
      <c r="G361" s="66"/>
    </row>
    <row r="362" spans="1:8" ht="21" customHeight="1">
      <c r="A362" s="62">
        <v>44866</v>
      </c>
      <c r="B362" s="61">
        <v>1079.2787000000001</v>
      </c>
      <c r="D362" s="66"/>
      <c r="E362" s="66"/>
      <c r="F362" s="69"/>
      <c r="G362" s="66"/>
    </row>
    <row r="363" spans="1:8" ht="21" customHeight="1">
      <c r="A363" s="62">
        <v>44896</v>
      </c>
      <c r="B363" s="61">
        <v>1134.5875000000001</v>
      </c>
      <c r="D363" s="66"/>
      <c r="E363" s="66"/>
      <c r="F363" s="69"/>
      <c r="G363" s="66"/>
    </row>
    <row r="364" spans="1:8" ht="21" customHeight="1">
      <c r="A364" s="62">
        <v>44927</v>
      </c>
      <c r="B364" s="61">
        <v>1202.979</v>
      </c>
      <c r="D364" s="66"/>
      <c r="E364" s="66"/>
      <c r="F364" s="69"/>
      <c r="G364" s="66"/>
    </row>
    <row r="365" spans="1:8" ht="21" customHeight="1">
      <c r="A365" s="62">
        <v>44958</v>
      </c>
      <c r="B365" s="61">
        <v>1282.7091</v>
      </c>
      <c r="D365" s="66"/>
      <c r="E365" s="66"/>
      <c r="F365" s="69"/>
      <c r="G365" s="66"/>
    </row>
    <row r="366" spans="1:8" ht="21" customHeight="1">
      <c r="A366" s="62">
        <v>44986</v>
      </c>
      <c r="B366" s="61">
        <v>1381.1601000000001</v>
      </c>
      <c r="D366" s="66"/>
      <c r="E366" s="66"/>
      <c r="F366" s="69"/>
      <c r="G366" s="66"/>
    </row>
    <row r="367" spans="1:8" ht="21" customHeight="1">
      <c r="A367" s="62">
        <v>45017</v>
      </c>
      <c r="B367" s="61">
        <v>1497.2147</v>
      </c>
      <c r="D367" s="66"/>
      <c r="E367" s="66"/>
      <c r="F367" s="69"/>
      <c r="G367" s="66"/>
    </row>
    <row r="368" spans="1:8" ht="21" customHeight="1">
      <c r="A368" s="62">
        <v>45047</v>
      </c>
      <c r="B368" s="61">
        <v>1613.5895</v>
      </c>
      <c r="D368" s="66"/>
      <c r="E368" s="66"/>
      <c r="F368" s="69"/>
      <c r="G368" s="66"/>
    </row>
    <row r="369" spans="1:7" ht="21" customHeight="1">
      <c r="A369" s="62">
        <v>45078</v>
      </c>
      <c r="B369" s="61">
        <v>1709.6115</v>
      </c>
      <c r="D369" s="66"/>
      <c r="E369" s="66"/>
      <c r="F369" s="69"/>
      <c r="G369" s="66"/>
    </row>
    <row r="370" spans="1:7" ht="21" customHeight="1">
      <c r="A370" s="62">
        <v>45108</v>
      </c>
      <c r="B370" s="61">
        <v>1818.0838000000001</v>
      </c>
      <c r="D370" s="66"/>
      <c r="E370" s="66"/>
      <c r="F370" s="69"/>
      <c r="G370" s="66"/>
    </row>
    <row r="371" spans="1:7" ht="21" customHeight="1">
      <c r="A371" s="62">
        <v>45139</v>
      </c>
      <c r="B371" s="61">
        <v>2044.2832000000001</v>
      </c>
      <c r="D371" s="66"/>
      <c r="E371" s="66"/>
      <c r="F371" s="69"/>
      <c r="G371" s="66"/>
    </row>
    <row r="372" spans="1:7" ht="21" customHeight="1">
      <c r="A372" s="62">
        <v>45170</v>
      </c>
      <c r="B372" s="61">
        <v>2304.9241999999999</v>
      </c>
      <c r="D372" s="66"/>
      <c r="E372" s="66"/>
      <c r="F372" s="69"/>
      <c r="G372" s="66"/>
    </row>
    <row r="373" spans="1:7" ht="21" customHeight="1">
      <c r="A373" s="62">
        <v>45200</v>
      </c>
      <c r="B373" s="61">
        <v>2496.2730000000001</v>
      </c>
      <c r="D373" s="66"/>
      <c r="E373" s="66"/>
      <c r="F373" s="69"/>
      <c r="G373" s="66"/>
    </row>
    <row r="374" spans="1:7" ht="21" customHeight="1">
      <c r="A374" s="62">
        <v>45231</v>
      </c>
      <c r="B374" s="61">
        <v>2816.0628000000002</v>
      </c>
      <c r="D374" s="66"/>
      <c r="E374" s="66"/>
      <c r="F374" s="69"/>
      <c r="G374" s="66"/>
    </row>
    <row r="375" spans="1:7" ht="21" customHeight="1">
      <c r="A375" s="62">
        <v>45261</v>
      </c>
      <c r="B375" s="61">
        <v>3533.1922</v>
      </c>
      <c r="D375" s="66"/>
      <c r="E375" s="66"/>
      <c r="F375" s="69"/>
      <c r="G375" s="66"/>
    </row>
    <row r="376" spans="1:7" ht="21" customHeight="1">
      <c r="A376" s="62">
        <v>45292</v>
      </c>
      <c r="B376" s="61">
        <v>4261.5324000000001</v>
      </c>
      <c r="D376" s="66"/>
      <c r="E376" s="66"/>
      <c r="F376" s="69"/>
      <c r="G376" s="66"/>
    </row>
    <row r="377" spans="1:7" ht="21" customHeight="1">
      <c r="A377" s="62">
        <v>45323</v>
      </c>
      <c r="B377" s="61">
        <v>4825.7880999999998</v>
      </c>
      <c r="D377" s="66"/>
      <c r="E377" s="66"/>
      <c r="F377" s="69"/>
      <c r="G377" s="66"/>
    </row>
    <row r="378" spans="1:7" ht="21" customHeight="1">
      <c r="A378" s="62">
        <v>45352</v>
      </c>
      <c r="B378" s="61">
        <v>5357.0928999999996</v>
      </c>
      <c r="D378" s="66"/>
      <c r="E378" s="66"/>
      <c r="F378" s="69"/>
      <c r="G378" s="66"/>
    </row>
    <row r="379" spans="1:7" ht="21" customHeight="1">
      <c r="A379" s="62">
        <v>45383</v>
      </c>
      <c r="B379" s="61">
        <v>5830.2271000000001</v>
      </c>
      <c r="D379" s="66"/>
      <c r="E379" s="66"/>
      <c r="F379" s="69"/>
      <c r="G379" s="66"/>
    </row>
    <row r="380" spans="1:7" ht="21" customHeight="1">
      <c r="A380" s="62">
        <v>45413</v>
      </c>
      <c r="B380" s="61">
        <v>6073.7165000000005</v>
      </c>
      <c r="D380" s="66"/>
      <c r="E380" s="66"/>
      <c r="F380" s="69"/>
      <c r="G380" s="66"/>
    </row>
    <row r="381" spans="1:7" ht="21" customHeight="1">
      <c r="A381" s="62">
        <v>45444</v>
      </c>
      <c r="B381" s="61">
        <v>6351.7145</v>
      </c>
      <c r="D381" s="66"/>
      <c r="E381" s="66"/>
      <c r="F381" s="10"/>
      <c r="G381" s="66"/>
    </row>
    <row r="382" spans="1:7" ht="21" customHeight="1">
      <c r="A382" s="62">
        <v>45474</v>
      </c>
      <c r="B382" s="61">
        <v>6607.7479000000003</v>
      </c>
      <c r="D382" s="66"/>
      <c r="E382" s="66"/>
      <c r="F382" s="10"/>
      <c r="G382" s="66"/>
    </row>
    <row r="383" spans="1:7" ht="21" customHeight="1">
      <c r="A383" s="62">
        <v>45505</v>
      </c>
      <c r="B383" s="61">
        <v>6883.4412000000002</v>
      </c>
      <c r="D383" s="66"/>
      <c r="E383" s="66"/>
      <c r="F383" s="10"/>
      <c r="G383" s="66"/>
    </row>
    <row r="384" spans="1:7" ht="21" customHeight="1">
      <c r="A384" s="62">
        <v>45536</v>
      </c>
      <c r="B384" s="61">
        <v>7122.2421000000004</v>
      </c>
      <c r="D384" s="66"/>
      <c r="E384" s="66"/>
      <c r="F384" s="10"/>
      <c r="G384" s="66"/>
    </row>
    <row r="385" spans="1:7" ht="21" customHeight="1">
      <c r="A385" s="62">
        <v>45566</v>
      </c>
      <c r="B385" s="61">
        <v>7313.9542000000001</v>
      </c>
      <c r="D385" s="66"/>
      <c r="E385" s="66"/>
      <c r="F385" s="10"/>
      <c r="G385" s="66"/>
    </row>
    <row r="386" spans="1:7" ht="21" customHeight="1">
      <c r="A386" s="62">
        <v>45597</v>
      </c>
      <c r="B386" s="61">
        <v>7491.4314000000004</v>
      </c>
      <c r="D386" s="66"/>
      <c r="E386" s="66"/>
      <c r="F386" s="10"/>
      <c r="G386" s="66"/>
    </row>
    <row r="387" spans="1:7" ht="21" customHeight="1">
      <c r="A387" s="62">
        <v>45627</v>
      </c>
      <c r="B387" s="61">
        <v>7694.0074999999997</v>
      </c>
      <c r="D387" s="66"/>
      <c r="E387" s="66"/>
      <c r="F387" s="10"/>
      <c r="G387" s="66"/>
    </row>
    <row r="388" spans="1:7" ht="21" customHeight="1">
      <c r="A388" s="62">
        <v>45658</v>
      </c>
      <c r="B388" s="61">
        <v>7864.1256999999996</v>
      </c>
      <c r="D388" s="66"/>
      <c r="E388" s="66"/>
      <c r="F388" s="10"/>
      <c r="G388" s="66"/>
    </row>
    <row r="389" spans="1:7" ht="21" customHeight="1">
      <c r="A389" s="62">
        <v>45689</v>
      </c>
      <c r="B389" s="61">
        <v>8052.9926999999998</v>
      </c>
      <c r="D389" s="66"/>
      <c r="E389" s="66"/>
      <c r="F389" s="10"/>
      <c r="G389" s="66"/>
    </row>
    <row r="390" spans="1:7" ht="21" customHeight="1">
      <c r="A390" s="62">
        <v>45717</v>
      </c>
      <c r="B390" s="61">
        <v>8353.3158000000003</v>
      </c>
      <c r="D390" s="66"/>
      <c r="E390" s="66"/>
      <c r="F390" s="10"/>
      <c r="G390" s="66"/>
    </row>
    <row r="391" spans="1:7" ht="21" customHeight="1">
      <c r="A391" s="62">
        <v>45748</v>
      </c>
      <c r="B391" s="61">
        <v>8585.6077999999998</v>
      </c>
      <c r="D391" s="66"/>
      <c r="E391" s="66"/>
      <c r="F391" s="10"/>
      <c r="G391" s="66"/>
    </row>
    <row r="392" spans="1:7" ht="21" customHeight="1">
      <c r="A392" s="62">
        <v>45778</v>
      </c>
      <c r="B392" s="61">
        <v>8714.4871000000003</v>
      </c>
      <c r="D392" s="70"/>
      <c r="E392" s="69"/>
      <c r="F392" s="10"/>
      <c r="G392" s="66"/>
    </row>
    <row r="393" spans="1:7" ht="21" customHeight="1">
      <c r="A393" s="62">
        <v>45809</v>
      </c>
      <c r="B393" s="61">
        <v>8855.5681000000004</v>
      </c>
      <c r="D393" s="70"/>
      <c r="E393" s="69"/>
      <c r="F393" s="10"/>
      <c r="G393" s="66"/>
    </row>
    <row r="394" spans="1:7" ht="21" customHeight="1">
      <c r="A394" s="62">
        <v>45839</v>
      </c>
      <c r="B394" s="61">
        <v>9023.973</v>
      </c>
      <c r="D394" s="70"/>
      <c r="E394" s="69"/>
      <c r="F394" s="10"/>
      <c r="G394" s="66"/>
    </row>
    <row r="395" spans="1:7" ht="21" customHeight="1">
      <c r="A395" s="62">
        <v>45870</v>
      </c>
      <c r="B395" s="61">
        <v>9193.2440999999999</v>
      </c>
      <c r="D395" s="70"/>
      <c r="E395" s="69"/>
      <c r="F395" s="10"/>
      <c r="G395" s="66"/>
    </row>
    <row r="396" spans="1:7" ht="21" customHeight="1">
      <c r="A396" s="62">
        <v>45901</v>
      </c>
      <c r="B396" s="61">
        <v>9384.0921999999991</v>
      </c>
      <c r="D396" s="70"/>
      <c r="E396" s="69"/>
      <c r="F396" s="10"/>
      <c r="G396" s="66"/>
    </row>
    <row r="397" spans="1:7" ht="21" customHeight="1">
      <c r="A397" s="62">
        <v>45931</v>
      </c>
      <c r="B397" s="61">
        <v>9603.8623000000007</v>
      </c>
      <c r="D397" s="71"/>
      <c r="E397" s="71"/>
      <c r="F397" s="71"/>
      <c r="G397" s="66"/>
    </row>
    <row r="398" spans="1:7" ht="21" customHeight="1">
      <c r="A398" s="62">
        <v>45962</v>
      </c>
      <c r="B398" s="61">
        <v>9841.3580999999995</v>
      </c>
      <c r="D398" s="71"/>
      <c r="E398" s="71"/>
      <c r="F398" s="71"/>
      <c r="G398" s="66"/>
    </row>
    <row r="399" spans="1:7" ht="21" customHeight="1">
      <c r="A399" s="62">
        <v>45992</v>
      </c>
      <c r="B399" s="61">
        <v>10121.371499999999</v>
      </c>
      <c r="D399" s="71"/>
      <c r="E399" s="71"/>
      <c r="F399" s="71"/>
      <c r="G399" s="66"/>
    </row>
    <row r="400" spans="1:7" ht="21" customHeight="1">
      <c r="A400" s="62">
        <v>46023</v>
      </c>
      <c r="B400" s="61">
        <v>10413.0309</v>
      </c>
      <c r="D400" s="71"/>
      <c r="E400" s="71"/>
      <c r="F400" s="71"/>
      <c r="G400" s="66"/>
    </row>
    <row r="401" spans="1:7" ht="21" customHeight="1">
      <c r="A401" s="62">
        <v>46054</v>
      </c>
      <c r="B401" s="61">
        <v>10714.6255</v>
      </c>
      <c r="D401" s="71"/>
      <c r="E401" s="71"/>
      <c r="F401" s="71"/>
      <c r="G401" s="66"/>
    </row>
    <row r="402" spans="1:7" ht="21" customHeight="1">
      <c r="A402" s="62">
        <v>46082</v>
      </c>
      <c r="B402" s="61">
        <v>11077.060799999999</v>
      </c>
      <c r="D402" s="71"/>
      <c r="E402" s="71"/>
      <c r="F402" s="71"/>
      <c r="G402" s="66"/>
    </row>
    <row r="403" spans="1:7" ht="21" customHeight="1">
      <c r="A403" s="62">
        <v>46113</v>
      </c>
      <c r="B403" s="72" t="s">
        <v>254</v>
      </c>
      <c r="D403" s="71"/>
      <c r="E403" s="71"/>
      <c r="F403" s="71"/>
      <c r="G403" s="66"/>
    </row>
    <row r="404" spans="1:7" ht="22.5" customHeight="1">
      <c r="A404" s="55"/>
      <c r="B404" s="55"/>
      <c r="D404" s="66"/>
      <c r="E404" s="66"/>
      <c r="F404" s="69"/>
    </row>
    <row r="405" spans="1:7" ht="15.75" customHeight="1">
      <c r="A405" s="99" t="s">
        <v>255</v>
      </c>
      <c r="B405" s="93"/>
      <c r="C405" s="93"/>
      <c r="E405" s="66"/>
    </row>
    <row r="406" spans="1:7" ht="15.75" customHeight="1">
      <c r="A406" s="93"/>
      <c r="B406" s="93"/>
      <c r="C406" s="93"/>
      <c r="E406" s="66"/>
    </row>
    <row r="407" spans="1:7" ht="31.5" customHeight="1">
      <c r="A407" s="93"/>
      <c r="B407" s="93"/>
      <c r="C407" s="93"/>
    </row>
    <row r="408" spans="1:7" ht="15.75" customHeight="1">
      <c r="A408" s="55"/>
      <c r="B408" s="73"/>
    </row>
    <row r="409" spans="1:7" ht="15.75" customHeight="1">
      <c r="A409" s="55"/>
      <c r="B409" s="73"/>
    </row>
    <row r="410" spans="1:7" ht="15.75" customHeight="1">
      <c r="A410" s="55"/>
      <c r="B410" s="55"/>
    </row>
    <row r="411" spans="1:7" ht="15.75" customHeight="1">
      <c r="A411" s="55"/>
      <c r="B411" s="55"/>
    </row>
    <row r="412" spans="1:7" ht="15.75" customHeight="1">
      <c r="A412" s="55"/>
      <c r="B412" s="55"/>
    </row>
    <row r="413" spans="1:7" ht="15.75" customHeight="1">
      <c r="A413" s="55"/>
      <c r="B413" s="55"/>
    </row>
    <row r="414" spans="1:7" ht="15.75" customHeight="1">
      <c r="A414" s="55"/>
      <c r="B414" s="55"/>
    </row>
    <row r="415" spans="1:7" ht="15.75" customHeight="1">
      <c r="A415" s="55"/>
      <c r="B415" s="55"/>
    </row>
    <row r="416" spans="1:7" ht="15.75" customHeight="1">
      <c r="A416" s="55"/>
      <c r="B416" s="55"/>
    </row>
    <row r="417" spans="1:2" ht="15.75" customHeight="1">
      <c r="A417" s="55"/>
      <c r="B417" s="55"/>
    </row>
    <row r="418" spans="1:2" ht="15.75" customHeight="1">
      <c r="A418" s="55"/>
      <c r="B418" s="55"/>
    </row>
    <row r="419" spans="1:2" ht="15.75" customHeight="1">
      <c r="A419" s="55"/>
      <c r="B419" s="55"/>
    </row>
    <row r="420" spans="1:2" ht="15.75" customHeight="1">
      <c r="A420" s="55"/>
      <c r="B420" s="55"/>
    </row>
    <row r="421" spans="1:2" ht="15.75" customHeight="1">
      <c r="A421" s="55"/>
      <c r="B421" s="55"/>
    </row>
    <row r="422" spans="1:2" ht="15.75" customHeight="1">
      <c r="A422" s="55"/>
      <c r="B422" s="55"/>
    </row>
    <row r="423" spans="1:2" ht="15.75" customHeight="1">
      <c r="A423" s="55"/>
      <c r="B423" s="55"/>
    </row>
    <row r="424" spans="1:2" ht="15.75" customHeight="1">
      <c r="A424" s="55"/>
      <c r="B424" s="55"/>
    </row>
    <row r="425" spans="1:2" ht="15.75" customHeight="1">
      <c r="A425" s="55"/>
      <c r="B425" s="55"/>
    </row>
    <row r="426" spans="1:2" ht="15.75" customHeight="1">
      <c r="A426" s="55"/>
      <c r="B426" s="55"/>
    </row>
    <row r="427" spans="1:2" ht="15.75" customHeight="1">
      <c r="A427" s="55"/>
      <c r="B427" s="55"/>
    </row>
    <row r="428" spans="1:2" ht="15.75" customHeight="1">
      <c r="A428" s="55"/>
      <c r="B428" s="55"/>
    </row>
    <row r="429" spans="1:2" ht="15.75" customHeight="1">
      <c r="A429" s="55"/>
      <c r="B429" s="55"/>
    </row>
    <row r="430" spans="1:2" ht="15.75" customHeight="1">
      <c r="A430" s="55"/>
      <c r="B430" s="55"/>
    </row>
    <row r="431" spans="1:2" ht="15.75" customHeight="1">
      <c r="A431" s="55"/>
      <c r="B431" s="55"/>
    </row>
    <row r="432" spans="1:2" ht="15.75" customHeight="1">
      <c r="A432" s="55"/>
      <c r="B432" s="55"/>
    </row>
    <row r="433" spans="1:2" ht="15.75" customHeight="1">
      <c r="A433" s="55"/>
      <c r="B433" s="55"/>
    </row>
    <row r="434" spans="1:2" ht="15.75" customHeight="1">
      <c r="A434" s="55"/>
      <c r="B434" s="55"/>
    </row>
    <row r="435" spans="1:2" ht="15.75" customHeight="1">
      <c r="A435" s="55"/>
      <c r="B435" s="55"/>
    </row>
    <row r="436" spans="1:2" ht="15.75" customHeight="1">
      <c r="A436" s="55"/>
      <c r="B436" s="55"/>
    </row>
    <row r="437" spans="1:2" ht="15.75" customHeight="1">
      <c r="A437" s="55"/>
      <c r="B437" s="55"/>
    </row>
    <row r="438" spans="1:2" ht="15.75" customHeight="1">
      <c r="A438" s="55"/>
      <c r="B438" s="55"/>
    </row>
    <row r="439" spans="1:2" ht="15.75" customHeight="1">
      <c r="A439" s="55"/>
      <c r="B439" s="55"/>
    </row>
    <row r="440" spans="1:2" ht="15.75" customHeight="1">
      <c r="A440" s="55"/>
      <c r="B440" s="55"/>
    </row>
    <row r="441" spans="1:2" ht="15.75" customHeight="1">
      <c r="A441" s="55"/>
      <c r="B441" s="55"/>
    </row>
    <row r="442" spans="1:2" ht="15.75" customHeight="1">
      <c r="A442" s="55"/>
      <c r="B442" s="55"/>
    </row>
    <row r="443" spans="1:2" ht="15.75" customHeight="1">
      <c r="A443" s="55"/>
      <c r="B443" s="55"/>
    </row>
    <row r="444" spans="1:2" ht="15.75" customHeight="1">
      <c r="A444" s="55"/>
      <c r="B444" s="55"/>
    </row>
    <row r="445" spans="1:2" ht="15.75" customHeight="1">
      <c r="A445" s="55"/>
      <c r="B445" s="55"/>
    </row>
    <row r="446" spans="1:2" ht="15.75" customHeight="1">
      <c r="A446" s="55"/>
      <c r="B446" s="55"/>
    </row>
    <row r="447" spans="1:2" ht="15.75" customHeight="1">
      <c r="A447" s="55"/>
      <c r="B447" s="55"/>
    </row>
    <row r="448" spans="1:2" ht="15.75" customHeight="1">
      <c r="A448" s="55"/>
      <c r="B448" s="55"/>
    </row>
    <row r="449" spans="1:2" ht="15.75" customHeight="1">
      <c r="A449" s="55"/>
      <c r="B449" s="55"/>
    </row>
    <row r="450" spans="1:2" ht="15.75" customHeight="1">
      <c r="A450" s="55"/>
      <c r="B450" s="55"/>
    </row>
    <row r="451" spans="1:2" ht="15.75" customHeight="1">
      <c r="A451" s="55"/>
      <c r="B451" s="55"/>
    </row>
    <row r="452" spans="1:2" ht="15.75" customHeight="1">
      <c r="A452" s="55"/>
      <c r="B452" s="55"/>
    </row>
    <row r="453" spans="1:2" ht="15.75" customHeight="1">
      <c r="A453" s="55"/>
      <c r="B453" s="55"/>
    </row>
    <row r="454" spans="1:2" ht="15.75" customHeight="1">
      <c r="A454" s="55"/>
      <c r="B454" s="55"/>
    </row>
    <row r="455" spans="1:2" ht="15.75" customHeight="1">
      <c r="A455" s="55"/>
      <c r="B455" s="55"/>
    </row>
    <row r="456" spans="1:2" ht="15.75" customHeight="1">
      <c r="A456" s="55"/>
      <c r="B456" s="55"/>
    </row>
    <row r="457" spans="1:2" ht="15.75" customHeight="1">
      <c r="A457" s="55"/>
      <c r="B457" s="55"/>
    </row>
    <row r="458" spans="1:2" ht="15.75" customHeight="1">
      <c r="A458" s="55"/>
      <c r="B458" s="55"/>
    </row>
    <row r="459" spans="1:2" ht="15.75" customHeight="1">
      <c r="A459" s="55"/>
      <c r="B459" s="55"/>
    </row>
    <row r="460" spans="1:2" ht="15.75" customHeight="1">
      <c r="A460" s="55"/>
      <c r="B460" s="55"/>
    </row>
    <row r="461" spans="1:2" ht="15.75" customHeight="1">
      <c r="A461" s="55"/>
      <c r="B461" s="55"/>
    </row>
    <row r="462" spans="1:2" ht="15.75" customHeight="1">
      <c r="A462" s="55"/>
      <c r="B462" s="55"/>
    </row>
    <row r="463" spans="1:2" ht="15.75" customHeight="1">
      <c r="A463" s="55"/>
      <c r="B463" s="55"/>
    </row>
    <row r="464" spans="1:2" ht="15.75" customHeight="1">
      <c r="A464" s="55"/>
      <c r="B464" s="55"/>
    </row>
    <row r="465" spans="1:2" ht="15.75" customHeight="1">
      <c r="A465" s="55"/>
      <c r="B465" s="55"/>
    </row>
    <row r="466" spans="1:2" ht="15.75" customHeight="1">
      <c r="A466" s="55"/>
      <c r="B466" s="55"/>
    </row>
    <row r="467" spans="1:2" ht="15.75" customHeight="1">
      <c r="A467" s="55"/>
      <c r="B467" s="55"/>
    </row>
    <row r="468" spans="1:2" ht="15.75" customHeight="1">
      <c r="A468" s="55"/>
      <c r="B468" s="55"/>
    </row>
    <row r="469" spans="1:2" ht="15.75" customHeight="1">
      <c r="A469" s="55"/>
      <c r="B469" s="55"/>
    </row>
    <row r="470" spans="1:2" ht="15.75" customHeight="1">
      <c r="A470" s="55"/>
      <c r="B470" s="55"/>
    </row>
    <row r="471" spans="1:2" ht="15.75" customHeight="1">
      <c r="A471" s="55"/>
      <c r="B471" s="55"/>
    </row>
    <row r="472" spans="1:2" ht="15.75" customHeight="1">
      <c r="A472" s="55"/>
      <c r="B472" s="55"/>
    </row>
    <row r="473" spans="1:2" ht="15.75" customHeight="1">
      <c r="A473" s="55"/>
      <c r="B473" s="55"/>
    </row>
    <row r="474" spans="1:2" ht="15.75" customHeight="1">
      <c r="A474" s="55"/>
      <c r="B474" s="55"/>
    </row>
    <row r="475" spans="1:2" ht="15.75" customHeight="1">
      <c r="A475" s="55"/>
      <c r="B475" s="55"/>
    </row>
    <row r="476" spans="1:2" ht="15.75" customHeight="1">
      <c r="A476" s="55"/>
      <c r="B476" s="55"/>
    </row>
    <row r="477" spans="1:2" ht="15.75" customHeight="1">
      <c r="A477" s="55"/>
      <c r="B477" s="55"/>
    </row>
    <row r="478" spans="1:2" ht="15.75" customHeight="1">
      <c r="A478" s="55"/>
      <c r="B478" s="55"/>
    </row>
    <row r="479" spans="1:2" ht="15.75" customHeight="1">
      <c r="A479" s="55"/>
      <c r="B479" s="55"/>
    </row>
    <row r="480" spans="1:2" ht="15.75" customHeight="1">
      <c r="A480" s="55"/>
      <c r="B480" s="55"/>
    </row>
    <row r="481" spans="1:2" ht="15.75" customHeight="1">
      <c r="A481" s="55"/>
      <c r="B481" s="55"/>
    </row>
    <row r="482" spans="1:2" ht="15.75" customHeight="1">
      <c r="A482" s="55"/>
      <c r="B482" s="55"/>
    </row>
    <row r="483" spans="1:2" ht="15.75" customHeight="1">
      <c r="A483" s="55"/>
      <c r="B483" s="55"/>
    </row>
    <row r="484" spans="1:2" ht="15.75" customHeight="1">
      <c r="A484" s="55"/>
      <c r="B484" s="55"/>
    </row>
    <row r="485" spans="1:2" ht="15.75" customHeight="1">
      <c r="A485" s="55"/>
      <c r="B485" s="55"/>
    </row>
    <row r="486" spans="1:2" ht="15.75" customHeight="1">
      <c r="A486" s="55"/>
      <c r="B486" s="55"/>
    </row>
    <row r="487" spans="1:2" ht="15.75" customHeight="1">
      <c r="A487" s="55"/>
      <c r="B487" s="55"/>
    </row>
    <row r="488" spans="1:2" ht="15.75" customHeight="1">
      <c r="A488" s="55"/>
      <c r="B488" s="55"/>
    </row>
    <row r="489" spans="1:2" ht="15.75" customHeight="1">
      <c r="A489" s="55"/>
      <c r="B489" s="55"/>
    </row>
    <row r="490" spans="1:2" ht="15.75" customHeight="1">
      <c r="A490" s="55"/>
      <c r="B490" s="55"/>
    </row>
    <row r="491" spans="1:2" ht="15.75" customHeight="1">
      <c r="A491" s="55"/>
      <c r="B491" s="55"/>
    </row>
    <row r="492" spans="1:2" ht="15.75" customHeight="1">
      <c r="A492" s="55"/>
      <c r="B492" s="55"/>
    </row>
    <row r="493" spans="1:2" ht="15.75" customHeight="1">
      <c r="A493" s="55"/>
      <c r="B493" s="55"/>
    </row>
    <row r="494" spans="1:2" ht="15.75" customHeight="1">
      <c r="A494" s="55"/>
      <c r="B494" s="55"/>
    </row>
    <row r="495" spans="1:2" ht="15.75" customHeight="1">
      <c r="A495" s="55"/>
      <c r="B495" s="55"/>
    </row>
    <row r="496" spans="1:2" ht="15.75" customHeight="1">
      <c r="A496" s="55"/>
      <c r="B496" s="55"/>
    </row>
    <row r="497" spans="1:2" ht="15.75" customHeight="1">
      <c r="A497" s="55"/>
      <c r="B497" s="55"/>
    </row>
    <row r="498" spans="1:2" ht="15.75" customHeight="1">
      <c r="A498" s="55"/>
      <c r="B498" s="55"/>
    </row>
    <row r="499" spans="1:2" ht="15.75" customHeight="1">
      <c r="A499" s="55"/>
      <c r="B499" s="55"/>
    </row>
    <row r="500" spans="1:2" ht="15.75" customHeight="1">
      <c r="A500" s="55"/>
      <c r="B500" s="55"/>
    </row>
    <row r="501" spans="1:2" ht="15.75" customHeight="1">
      <c r="A501" s="55"/>
      <c r="B501" s="55"/>
    </row>
    <row r="502" spans="1:2" ht="15.75" customHeight="1">
      <c r="A502" s="55"/>
      <c r="B502" s="55"/>
    </row>
    <row r="503" spans="1:2" ht="15.75" customHeight="1">
      <c r="A503" s="55"/>
      <c r="B503" s="55"/>
    </row>
    <row r="504" spans="1:2" ht="15.75" customHeight="1">
      <c r="A504" s="55"/>
      <c r="B504" s="55"/>
    </row>
    <row r="505" spans="1:2" ht="15.75" customHeight="1">
      <c r="A505" s="55"/>
      <c r="B505" s="55"/>
    </row>
    <row r="506" spans="1:2" ht="15.75" customHeight="1">
      <c r="A506" s="55"/>
      <c r="B506" s="55"/>
    </row>
    <row r="507" spans="1:2" ht="15.75" customHeight="1">
      <c r="A507" s="55"/>
      <c r="B507" s="55"/>
    </row>
    <row r="508" spans="1:2" ht="15.75" customHeight="1">
      <c r="A508" s="55"/>
      <c r="B508" s="55"/>
    </row>
    <row r="509" spans="1:2" ht="15.75" customHeight="1">
      <c r="A509" s="55"/>
      <c r="B509" s="55"/>
    </row>
    <row r="510" spans="1:2" ht="15.75" customHeight="1">
      <c r="A510" s="55"/>
      <c r="B510" s="55"/>
    </row>
    <row r="511" spans="1:2" ht="15.75" customHeight="1">
      <c r="A511" s="55"/>
      <c r="B511" s="55"/>
    </row>
    <row r="512" spans="1:2" ht="15.75" customHeight="1">
      <c r="A512" s="55"/>
      <c r="B512" s="55"/>
    </row>
    <row r="513" spans="1:2" ht="15.75" customHeight="1">
      <c r="A513" s="55"/>
      <c r="B513" s="55"/>
    </row>
    <row r="514" spans="1:2" ht="15.75" customHeight="1">
      <c r="A514" s="55"/>
      <c r="B514" s="55"/>
    </row>
    <row r="515" spans="1:2" ht="15.75" customHeight="1">
      <c r="A515" s="55"/>
      <c r="B515" s="55"/>
    </row>
    <row r="516" spans="1:2" ht="15.75" customHeight="1">
      <c r="A516" s="55"/>
      <c r="B516" s="55"/>
    </row>
    <row r="517" spans="1:2" ht="15.75" customHeight="1">
      <c r="A517" s="55"/>
      <c r="B517" s="55"/>
    </row>
    <row r="518" spans="1:2" ht="15.75" customHeight="1">
      <c r="A518" s="55"/>
      <c r="B518" s="55"/>
    </row>
    <row r="519" spans="1:2" ht="15.75" customHeight="1">
      <c r="A519" s="55"/>
      <c r="B519" s="55"/>
    </row>
    <row r="520" spans="1:2" ht="15.75" customHeight="1">
      <c r="A520" s="55"/>
      <c r="B520" s="55"/>
    </row>
    <row r="521" spans="1:2" ht="15.75" customHeight="1">
      <c r="A521" s="55"/>
      <c r="B521" s="55"/>
    </row>
    <row r="522" spans="1:2" ht="15.75" customHeight="1">
      <c r="A522" s="55"/>
      <c r="B522" s="55"/>
    </row>
    <row r="523" spans="1:2" ht="15.75" customHeight="1">
      <c r="A523" s="55"/>
      <c r="B523" s="55"/>
    </row>
    <row r="524" spans="1:2" ht="15.75" customHeight="1">
      <c r="A524" s="55"/>
      <c r="B524" s="55"/>
    </row>
    <row r="525" spans="1:2" ht="15.75" customHeight="1">
      <c r="A525" s="55"/>
      <c r="B525" s="55"/>
    </row>
    <row r="526" spans="1:2" ht="15.75" customHeight="1">
      <c r="A526" s="55"/>
      <c r="B526" s="55"/>
    </row>
    <row r="527" spans="1:2" ht="15.75" customHeight="1">
      <c r="A527" s="55"/>
      <c r="B527" s="55"/>
    </row>
    <row r="528" spans="1:2" ht="15.75" customHeight="1">
      <c r="A528" s="55"/>
      <c r="B528" s="55"/>
    </row>
    <row r="529" spans="1:2" ht="15.75" customHeight="1">
      <c r="A529" s="55"/>
      <c r="B529" s="55"/>
    </row>
    <row r="530" spans="1:2" ht="15.75" customHeight="1">
      <c r="A530" s="55"/>
      <c r="B530" s="55"/>
    </row>
    <row r="531" spans="1:2" ht="15.75" customHeight="1">
      <c r="A531" s="55"/>
      <c r="B531" s="55"/>
    </row>
    <row r="532" spans="1:2" ht="15.75" customHeight="1">
      <c r="A532" s="55"/>
      <c r="B532" s="55"/>
    </row>
    <row r="533" spans="1:2" ht="15.75" customHeight="1">
      <c r="A533" s="55"/>
      <c r="B533" s="55"/>
    </row>
    <row r="534" spans="1:2" ht="15.75" customHeight="1">
      <c r="A534" s="55"/>
      <c r="B534" s="55"/>
    </row>
    <row r="535" spans="1:2" ht="15.75" customHeight="1">
      <c r="A535" s="55"/>
      <c r="B535" s="55"/>
    </row>
    <row r="536" spans="1:2" ht="15.75" customHeight="1">
      <c r="A536" s="55"/>
      <c r="B536" s="55"/>
    </row>
    <row r="537" spans="1:2" ht="15.75" customHeight="1">
      <c r="A537" s="55"/>
      <c r="B537" s="55"/>
    </row>
    <row r="538" spans="1:2" ht="15.75" customHeight="1">
      <c r="A538" s="55"/>
      <c r="B538" s="55"/>
    </row>
    <row r="539" spans="1:2" ht="15.75" customHeight="1">
      <c r="A539" s="55"/>
      <c r="B539" s="55"/>
    </row>
    <row r="540" spans="1:2" ht="15.75" customHeight="1">
      <c r="A540" s="55"/>
      <c r="B540" s="55"/>
    </row>
    <row r="541" spans="1:2" ht="15.75" customHeight="1">
      <c r="A541" s="55"/>
      <c r="B541" s="55"/>
    </row>
    <row r="542" spans="1:2" ht="15.75" customHeight="1">
      <c r="A542" s="55"/>
      <c r="B542" s="55"/>
    </row>
    <row r="543" spans="1:2" ht="15.75" customHeight="1">
      <c r="A543" s="55"/>
      <c r="B543" s="55"/>
    </row>
    <row r="544" spans="1:2" ht="15.75" customHeight="1">
      <c r="A544" s="55"/>
      <c r="B544" s="55"/>
    </row>
    <row r="545" spans="1:2" ht="15.75" customHeight="1">
      <c r="A545" s="55"/>
      <c r="B545" s="55"/>
    </row>
    <row r="546" spans="1:2" ht="15.75" customHeight="1">
      <c r="A546" s="55"/>
      <c r="B546" s="55"/>
    </row>
    <row r="547" spans="1:2" ht="15.75" customHeight="1">
      <c r="A547" s="55"/>
      <c r="B547" s="55"/>
    </row>
    <row r="548" spans="1:2" ht="15.75" customHeight="1">
      <c r="A548" s="55"/>
      <c r="B548" s="55"/>
    </row>
    <row r="549" spans="1:2" ht="15.75" customHeight="1">
      <c r="A549" s="55"/>
      <c r="B549" s="55"/>
    </row>
    <row r="550" spans="1:2" ht="15.75" customHeight="1">
      <c r="A550" s="55"/>
      <c r="B550" s="55"/>
    </row>
    <row r="551" spans="1:2" ht="15.75" customHeight="1">
      <c r="A551" s="55"/>
      <c r="B551" s="55"/>
    </row>
    <row r="552" spans="1:2" ht="15.75" customHeight="1">
      <c r="A552" s="55"/>
      <c r="B552" s="55"/>
    </row>
    <row r="553" spans="1:2" ht="15.75" customHeight="1">
      <c r="A553" s="55"/>
      <c r="B553" s="55"/>
    </row>
    <row r="554" spans="1:2" ht="15.75" customHeight="1">
      <c r="A554" s="55"/>
      <c r="B554" s="55"/>
    </row>
    <row r="555" spans="1:2" ht="15.75" customHeight="1">
      <c r="A555" s="55"/>
      <c r="B555" s="55"/>
    </row>
    <row r="556" spans="1:2" ht="15.75" customHeight="1">
      <c r="A556" s="55"/>
      <c r="B556" s="55"/>
    </row>
    <row r="557" spans="1:2" ht="15.75" customHeight="1">
      <c r="A557" s="55"/>
      <c r="B557" s="55"/>
    </row>
    <row r="558" spans="1:2" ht="15.75" customHeight="1">
      <c r="A558" s="55"/>
      <c r="B558" s="55"/>
    </row>
    <row r="559" spans="1:2" ht="15.75" customHeight="1">
      <c r="A559" s="55"/>
      <c r="B559" s="55"/>
    </row>
    <row r="560" spans="1:2" ht="15.75" customHeight="1">
      <c r="A560" s="55"/>
      <c r="B560" s="55"/>
    </row>
    <row r="561" spans="1:2" ht="15.75" customHeight="1">
      <c r="A561" s="55"/>
      <c r="B561" s="55"/>
    </row>
    <row r="562" spans="1:2" ht="15.75" customHeight="1">
      <c r="A562" s="55"/>
      <c r="B562" s="55"/>
    </row>
    <row r="563" spans="1:2" ht="15.75" customHeight="1">
      <c r="A563" s="55"/>
      <c r="B563" s="55"/>
    </row>
    <row r="564" spans="1:2" ht="15.75" customHeight="1">
      <c r="A564" s="55"/>
      <c r="B564" s="55"/>
    </row>
    <row r="565" spans="1:2" ht="15.75" customHeight="1">
      <c r="A565" s="55"/>
      <c r="B565" s="55"/>
    </row>
    <row r="566" spans="1:2" ht="15.75" customHeight="1">
      <c r="A566" s="55"/>
      <c r="B566" s="55"/>
    </row>
    <row r="567" spans="1:2" ht="15.75" customHeight="1">
      <c r="A567" s="55"/>
      <c r="B567" s="55"/>
    </row>
    <row r="568" spans="1:2" ht="15.75" customHeight="1">
      <c r="A568" s="55"/>
      <c r="B568" s="55"/>
    </row>
    <row r="569" spans="1:2" ht="15.75" customHeight="1">
      <c r="A569" s="55"/>
      <c r="B569" s="55"/>
    </row>
    <row r="570" spans="1:2" ht="15.75" customHeight="1">
      <c r="A570" s="55"/>
      <c r="B570" s="55"/>
    </row>
    <row r="571" spans="1:2" ht="15.75" customHeight="1">
      <c r="A571" s="55"/>
      <c r="B571" s="55"/>
    </row>
    <row r="572" spans="1:2" ht="15.75" customHeight="1">
      <c r="A572" s="55"/>
      <c r="B572" s="55"/>
    </row>
    <row r="573" spans="1:2" ht="15.75" customHeight="1">
      <c r="A573" s="55"/>
      <c r="B573" s="55"/>
    </row>
    <row r="574" spans="1:2" ht="15.75" customHeight="1">
      <c r="A574" s="55"/>
      <c r="B574" s="55"/>
    </row>
    <row r="575" spans="1:2" ht="15.75" customHeight="1">
      <c r="A575" s="55"/>
      <c r="B575" s="55"/>
    </row>
    <row r="576" spans="1:2" ht="15.75" customHeight="1">
      <c r="A576" s="55"/>
      <c r="B576" s="55"/>
    </row>
    <row r="577" spans="1:2" ht="15.75" customHeight="1">
      <c r="A577" s="55"/>
      <c r="B577" s="55"/>
    </row>
    <row r="578" spans="1:2" ht="15.75" customHeight="1">
      <c r="A578" s="55"/>
      <c r="B578" s="55"/>
    </row>
    <row r="579" spans="1:2" ht="15.75" customHeight="1">
      <c r="A579" s="55"/>
      <c r="B579" s="55"/>
    </row>
    <row r="580" spans="1:2" ht="15.75" customHeight="1">
      <c r="A580" s="55"/>
      <c r="B580" s="55"/>
    </row>
    <row r="581" spans="1:2" ht="15.75" customHeight="1">
      <c r="A581" s="55"/>
      <c r="B581" s="55"/>
    </row>
    <row r="582" spans="1:2" ht="15.75" customHeight="1">
      <c r="A582" s="55"/>
      <c r="B582" s="55"/>
    </row>
    <row r="583" spans="1:2" ht="15.75" customHeight="1">
      <c r="A583" s="55"/>
      <c r="B583" s="55"/>
    </row>
    <row r="584" spans="1:2" ht="15.75" customHeight="1">
      <c r="A584" s="55"/>
      <c r="B584" s="55"/>
    </row>
    <row r="585" spans="1:2" ht="15.75" customHeight="1">
      <c r="A585" s="55"/>
      <c r="B585" s="55"/>
    </row>
    <row r="586" spans="1:2" ht="15.75" customHeight="1">
      <c r="A586" s="55"/>
      <c r="B586" s="55"/>
    </row>
    <row r="587" spans="1:2" ht="15.75" customHeight="1">
      <c r="A587" s="55"/>
      <c r="B587" s="55"/>
    </row>
    <row r="588" spans="1:2" ht="15.75" customHeight="1">
      <c r="A588" s="55"/>
      <c r="B588" s="55"/>
    </row>
    <row r="589" spans="1:2" ht="15.75" customHeight="1">
      <c r="A589" s="55"/>
      <c r="B589" s="55"/>
    </row>
    <row r="590" spans="1:2" ht="15.75" customHeight="1">
      <c r="A590" s="55"/>
      <c r="B590" s="55"/>
    </row>
    <row r="591" spans="1:2" ht="15.75" customHeight="1">
      <c r="A591" s="55"/>
      <c r="B591" s="55"/>
    </row>
    <row r="592" spans="1:2" ht="15.75" customHeight="1">
      <c r="A592" s="55"/>
      <c r="B592" s="55"/>
    </row>
    <row r="593" spans="1:2" ht="15.75" customHeight="1">
      <c r="A593" s="55"/>
      <c r="B593" s="55"/>
    </row>
    <row r="594" spans="1:2" ht="15.75" customHeight="1">
      <c r="A594" s="55"/>
      <c r="B594" s="55"/>
    </row>
    <row r="595" spans="1:2" ht="15.75" customHeight="1">
      <c r="A595" s="55"/>
      <c r="B595" s="55"/>
    </row>
    <row r="596" spans="1:2" ht="15.75" customHeight="1">
      <c r="A596" s="55"/>
      <c r="B596" s="55"/>
    </row>
    <row r="597" spans="1:2" ht="15.75" customHeight="1">
      <c r="A597" s="55"/>
      <c r="B597" s="55"/>
    </row>
    <row r="598" spans="1:2" ht="15.75" customHeight="1">
      <c r="A598" s="55"/>
      <c r="B598" s="55"/>
    </row>
    <row r="599" spans="1:2" ht="15.75" customHeight="1">
      <c r="A599" s="55"/>
      <c r="B599" s="55"/>
    </row>
    <row r="600" spans="1:2" ht="15.75" customHeight="1">
      <c r="A600" s="55"/>
      <c r="B600" s="55"/>
    </row>
    <row r="601" spans="1:2" ht="15.75" customHeight="1">
      <c r="A601" s="55"/>
      <c r="B601" s="55"/>
    </row>
    <row r="602" spans="1:2" ht="15.75" customHeight="1">
      <c r="A602" s="55"/>
      <c r="B602" s="55"/>
    </row>
    <row r="603" spans="1:2" ht="15.75" customHeight="1">
      <c r="A603" s="55"/>
      <c r="B603" s="55"/>
    </row>
    <row r="604" spans="1:2" ht="15.75" customHeight="1">
      <c r="A604" s="55"/>
      <c r="B604" s="55"/>
    </row>
    <row r="605" spans="1:2" ht="15.75" customHeight="1">
      <c r="A605" s="55"/>
      <c r="B605" s="55"/>
    </row>
    <row r="606" spans="1:2" ht="15.75" customHeight="1">
      <c r="A606" s="55"/>
      <c r="B606" s="55"/>
    </row>
    <row r="607" spans="1:2" ht="15.75" customHeight="1">
      <c r="A607" s="55"/>
      <c r="B607" s="55"/>
    </row>
    <row r="608" spans="1:2" ht="15.75" customHeight="1">
      <c r="A608" s="55"/>
      <c r="B608" s="55"/>
    </row>
    <row r="609" spans="1:2" ht="15.75" customHeight="1">
      <c r="A609" s="55"/>
      <c r="B609" s="55"/>
    </row>
    <row r="610" spans="1:2" ht="15.75" customHeight="1">
      <c r="A610" s="55"/>
      <c r="B610" s="55"/>
    </row>
    <row r="611" spans="1:2" ht="15.75" customHeight="1">
      <c r="A611" s="55"/>
      <c r="B611" s="55"/>
    </row>
    <row r="612" spans="1:2" ht="15.75" customHeight="1">
      <c r="A612" s="55"/>
      <c r="B612" s="55"/>
    </row>
    <row r="613" spans="1:2" ht="15.75" customHeight="1">
      <c r="A613" s="55"/>
      <c r="B613" s="55"/>
    </row>
    <row r="614" spans="1:2" ht="15.75" customHeight="1">
      <c r="A614" s="55"/>
      <c r="B614" s="55"/>
    </row>
    <row r="615" spans="1:2" ht="15.75" customHeight="1">
      <c r="A615" s="55"/>
      <c r="B615" s="55"/>
    </row>
    <row r="616" spans="1:2" ht="15.75" customHeight="1">
      <c r="A616" s="55"/>
      <c r="B616" s="55"/>
    </row>
    <row r="617" spans="1:2" ht="15.75" customHeight="1">
      <c r="A617" s="55"/>
      <c r="B617" s="55"/>
    </row>
    <row r="618" spans="1:2" ht="15.75" customHeight="1">
      <c r="A618" s="55"/>
      <c r="B618" s="55"/>
    </row>
    <row r="619" spans="1:2" ht="15.75" customHeight="1">
      <c r="A619" s="55"/>
      <c r="B619" s="55"/>
    </row>
    <row r="620" spans="1:2" ht="15.75" customHeight="1">
      <c r="A620" s="55"/>
      <c r="B620" s="55"/>
    </row>
    <row r="621" spans="1:2" ht="15.75" customHeight="1">
      <c r="A621" s="55"/>
      <c r="B621" s="55"/>
    </row>
    <row r="622" spans="1:2" ht="15.75" customHeight="1">
      <c r="A622" s="55"/>
      <c r="B622" s="55"/>
    </row>
    <row r="623" spans="1:2" ht="15.75" customHeight="1">
      <c r="A623" s="55"/>
      <c r="B623" s="55"/>
    </row>
    <row r="624" spans="1:2" ht="15.75" customHeight="1">
      <c r="A624" s="55"/>
      <c r="B624" s="55"/>
    </row>
    <row r="625" spans="1:2" ht="15.75" customHeight="1">
      <c r="A625" s="55"/>
      <c r="B625" s="55"/>
    </row>
    <row r="626" spans="1:2" ht="15.75" customHeight="1">
      <c r="A626" s="55"/>
      <c r="B626" s="55"/>
    </row>
    <row r="627" spans="1:2" ht="15.75" customHeight="1">
      <c r="A627" s="55"/>
      <c r="B627" s="55"/>
    </row>
    <row r="628" spans="1:2" ht="15.75" customHeight="1">
      <c r="A628" s="55"/>
      <c r="B628" s="55"/>
    </row>
    <row r="629" spans="1:2" ht="15.75" customHeight="1">
      <c r="A629" s="55"/>
      <c r="B629" s="55"/>
    </row>
    <row r="630" spans="1:2" ht="15.75" customHeight="1">
      <c r="A630" s="55"/>
      <c r="B630" s="55"/>
    </row>
    <row r="631" spans="1:2" ht="15.75" customHeight="1">
      <c r="A631" s="55"/>
      <c r="B631" s="55"/>
    </row>
    <row r="632" spans="1:2" ht="15.75" customHeight="1">
      <c r="A632" s="55"/>
      <c r="B632" s="55"/>
    </row>
    <row r="633" spans="1:2" ht="15.75" customHeight="1">
      <c r="A633" s="55"/>
      <c r="B633" s="55"/>
    </row>
    <row r="634" spans="1:2" ht="15.75" customHeight="1">
      <c r="A634" s="55"/>
      <c r="B634" s="55"/>
    </row>
    <row r="635" spans="1:2" ht="15.75" customHeight="1">
      <c r="A635" s="55"/>
      <c r="B635" s="55"/>
    </row>
    <row r="636" spans="1:2" ht="15.75" customHeight="1">
      <c r="A636" s="55"/>
      <c r="B636" s="55"/>
    </row>
    <row r="637" spans="1:2" ht="15.75" customHeight="1">
      <c r="A637" s="55"/>
      <c r="B637" s="55"/>
    </row>
    <row r="638" spans="1:2" ht="15.75" customHeight="1">
      <c r="A638" s="55"/>
      <c r="B638" s="55"/>
    </row>
    <row r="639" spans="1:2" ht="15.75" customHeight="1">
      <c r="A639" s="55"/>
      <c r="B639" s="55"/>
    </row>
    <row r="640" spans="1:2" ht="15.75" customHeight="1">
      <c r="A640" s="55"/>
      <c r="B640" s="55"/>
    </row>
    <row r="641" spans="1:2" ht="15.75" customHeight="1">
      <c r="A641" s="55"/>
      <c r="B641" s="55"/>
    </row>
    <row r="642" spans="1:2" ht="15.75" customHeight="1">
      <c r="A642" s="55"/>
      <c r="B642" s="55"/>
    </row>
    <row r="643" spans="1:2" ht="15.75" customHeight="1">
      <c r="A643" s="55"/>
      <c r="B643" s="55"/>
    </row>
    <row r="644" spans="1:2" ht="15.75" customHeight="1">
      <c r="A644" s="55"/>
      <c r="B644" s="55"/>
    </row>
    <row r="645" spans="1:2" ht="15.75" customHeight="1">
      <c r="A645" s="55"/>
      <c r="B645" s="55"/>
    </row>
    <row r="646" spans="1:2" ht="15.75" customHeight="1">
      <c r="A646" s="55"/>
      <c r="B646" s="55"/>
    </row>
    <row r="647" spans="1:2" ht="15.75" customHeight="1">
      <c r="A647" s="55"/>
      <c r="B647" s="55"/>
    </row>
    <row r="648" spans="1:2" ht="15.75" customHeight="1">
      <c r="A648" s="55"/>
      <c r="B648" s="55"/>
    </row>
    <row r="649" spans="1:2" ht="15.75" customHeight="1">
      <c r="A649" s="55"/>
      <c r="B649" s="55"/>
    </row>
    <row r="650" spans="1:2" ht="15.75" customHeight="1">
      <c r="A650" s="55"/>
      <c r="B650" s="55"/>
    </row>
    <row r="651" spans="1:2" ht="15.75" customHeight="1">
      <c r="A651" s="55"/>
      <c r="B651" s="55"/>
    </row>
    <row r="652" spans="1:2" ht="15.75" customHeight="1">
      <c r="A652" s="55"/>
      <c r="B652" s="55"/>
    </row>
    <row r="653" spans="1:2" ht="15.75" customHeight="1">
      <c r="A653" s="55"/>
      <c r="B653" s="55"/>
    </row>
    <row r="654" spans="1:2" ht="15.75" customHeight="1">
      <c r="A654" s="55"/>
      <c r="B654" s="55"/>
    </row>
    <row r="655" spans="1:2" ht="15.75" customHeight="1">
      <c r="A655" s="55"/>
      <c r="B655" s="55"/>
    </row>
    <row r="656" spans="1:2" ht="15.75" customHeight="1">
      <c r="A656" s="55"/>
      <c r="B656" s="55"/>
    </row>
    <row r="657" spans="1:2" ht="15.75" customHeight="1">
      <c r="A657" s="55"/>
      <c r="B657" s="55"/>
    </row>
    <row r="658" spans="1:2" ht="15.75" customHeight="1">
      <c r="A658" s="55"/>
      <c r="B658" s="55"/>
    </row>
    <row r="659" spans="1:2" ht="15.75" customHeight="1">
      <c r="A659" s="55"/>
      <c r="B659" s="55"/>
    </row>
    <row r="660" spans="1:2" ht="15.75" customHeight="1">
      <c r="A660" s="55"/>
      <c r="B660" s="55"/>
    </row>
    <row r="661" spans="1:2" ht="15.75" customHeight="1">
      <c r="A661" s="55"/>
      <c r="B661" s="55"/>
    </row>
    <row r="662" spans="1:2" ht="15.75" customHeight="1">
      <c r="A662" s="55"/>
      <c r="B662" s="55"/>
    </row>
    <row r="663" spans="1:2" ht="15.75" customHeight="1">
      <c r="A663" s="55"/>
      <c r="B663" s="55"/>
    </row>
    <row r="664" spans="1:2" ht="15.75" customHeight="1">
      <c r="A664" s="55"/>
      <c r="B664" s="55"/>
    </row>
    <row r="665" spans="1:2" ht="15.75" customHeight="1">
      <c r="A665" s="55"/>
      <c r="B665" s="55"/>
    </row>
    <row r="666" spans="1:2" ht="15.75" customHeight="1">
      <c r="A666" s="55"/>
      <c r="B666" s="55"/>
    </row>
    <row r="667" spans="1:2" ht="15.75" customHeight="1">
      <c r="A667" s="55"/>
      <c r="B667" s="55"/>
    </row>
    <row r="668" spans="1:2" ht="15.75" customHeight="1">
      <c r="A668" s="55"/>
      <c r="B668" s="55"/>
    </row>
    <row r="669" spans="1:2" ht="15.75" customHeight="1">
      <c r="A669" s="55"/>
      <c r="B669" s="55"/>
    </row>
    <row r="670" spans="1:2" ht="15.75" customHeight="1">
      <c r="A670" s="55"/>
      <c r="B670" s="55"/>
    </row>
    <row r="671" spans="1:2" ht="15.75" customHeight="1">
      <c r="A671" s="55"/>
      <c r="B671" s="55"/>
    </row>
    <row r="672" spans="1:2" ht="15.75" customHeight="1">
      <c r="A672" s="55"/>
      <c r="B672" s="55"/>
    </row>
    <row r="673" spans="1:2" ht="15.75" customHeight="1">
      <c r="A673" s="55"/>
      <c r="B673" s="55"/>
    </row>
    <row r="674" spans="1:2" ht="15.75" customHeight="1">
      <c r="A674" s="55"/>
      <c r="B674" s="55"/>
    </row>
    <row r="675" spans="1:2" ht="15.75" customHeight="1">
      <c r="A675" s="55"/>
      <c r="B675" s="55"/>
    </row>
    <row r="676" spans="1:2" ht="15.75" customHeight="1">
      <c r="A676" s="55"/>
      <c r="B676" s="55"/>
    </row>
    <row r="677" spans="1:2" ht="15.75" customHeight="1">
      <c r="A677" s="55"/>
      <c r="B677" s="55"/>
    </row>
    <row r="678" spans="1:2" ht="15.75" customHeight="1">
      <c r="A678" s="55"/>
      <c r="B678" s="55"/>
    </row>
    <row r="679" spans="1:2" ht="15.75" customHeight="1">
      <c r="A679" s="55"/>
      <c r="B679" s="55"/>
    </row>
    <row r="680" spans="1:2" ht="15.75" customHeight="1">
      <c r="A680" s="55"/>
      <c r="B680" s="55"/>
    </row>
    <row r="681" spans="1:2" ht="15.75" customHeight="1">
      <c r="A681" s="55"/>
      <c r="B681" s="55"/>
    </row>
    <row r="682" spans="1:2" ht="15.75" customHeight="1">
      <c r="A682" s="55"/>
      <c r="B682" s="55"/>
    </row>
    <row r="683" spans="1:2" ht="15.75" customHeight="1">
      <c r="A683" s="55"/>
      <c r="B683" s="55"/>
    </row>
    <row r="684" spans="1:2" ht="15.75" customHeight="1">
      <c r="A684" s="55"/>
      <c r="B684" s="55"/>
    </row>
    <row r="685" spans="1:2" ht="15.75" customHeight="1">
      <c r="A685" s="55"/>
      <c r="B685" s="55"/>
    </row>
    <row r="686" spans="1:2" ht="15.75" customHeight="1">
      <c r="A686" s="55"/>
      <c r="B686" s="55"/>
    </row>
    <row r="687" spans="1:2" ht="15.75" customHeight="1">
      <c r="A687" s="55"/>
      <c r="B687" s="55"/>
    </row>
    <row r="688" spans="1:2" ht="15.75" customHeight="1">
      <c r="A688" s="55"/>
      <c r="B688" s="55"/>
    </row>
    <row r="689" spans="1:2" ht="15.75" customHeight="1">
      <c r="A689" s="55"/>
      <c r="B689" s="55"/>
    </row>
    <row r="690" spans="1:2" ht="15.75" customHeight="1">
      <c r="A690" s="55"/>
      <c r="B690" s="55"/>
    </row>
    <row r="691" spans="1:2" ht="15.75" customHeight="1">
      <c r="A691" s="55"/>
      <c r="B691" s="55"/>
    </row>
    <row r="692" spans="1:2" ht="15.75" customHeight="1">
      <c r="A692" s="55"/>
      <c r="B692" s="55"/>
    </row>
    <row r="693" spans="1:2" ht="15.75" customHeight="1">
      <c r="A693" s="55"/>
      <c r="B693" s="55"/>
    </row>
    <row r="694" spans="1:2" ht="15.75" customHeight="1">
      <c r="A694" s="55"/>
      <c r="B694" s="55"/>
    </row>
    <row r="695" spans="1:2" ht="15.75" customHeight="1">
      <c r="A695" s="55"/>
      <c r="B695" s="55"/>
    </row>
    <row r="696" spans="1:2" ht="15.75" customHeight="1">
      <c r="A696" s="55"/>
      <c r="B696" s="55"/>
    </row>
    <row r="697" spans="1:2" ht="15.75" customHeight="1">
      <c r="A697" s="55"/>
      <c r="B697" s="55"/>
    </row>
    <row r="698" spans="1:2" ht="15.75" customHeight="1">
      <c r="A698" s="55"/>
      <c r="B698" s="55"/>
    </row>
    <row r="699" spans="1:2" ht="15.75" customHeight="1">
      <c r="A699" s="55"/>
      <c r="B699" s="55"/>
    </row>
    <row r="700" spans="1:2" ht="15.75" customHeight="1">
      <c r="A700" s="55"/>
      <c r="B700" s="55"/>
    </row>
    <row r="701" spans="1:2" ht="15.75" customHeight="1">
      <c r="A701" s="55"/>
      <c r="B701" s="55"/>
    </row>
    <row r="702" spans="1:2" ht="15.75" customHeight="1">
      <c r="A702" s="55"/>
      <c r="B702" s="55"/>
    </row>
    <row r="703" spans="1:2" ht="15.75" customHeight="1">
      <c r="A703" s="55"/>
      <c r="B703" s="55"/>
    </row>
    <row r="704" spans="1:2" ht="15.75" customHeight="1">
      <c r="A704" s="55"/>
      <c r="B704" s="55"/>
    </row>
    <row r="705" spans="1:2" ht="15.75" customHeight="1">
      <c r="A705" s="55"/>
      <c r="B705" s="55"/>
    </row>
    <row r="706" spans="1:2" ht="15.75" customHeight="1">
      <c r="A706" s="55"/>
      <c r="B706" s="55"/>
    </row>
    <row r="707" spans="1:2" ht="15.75" customHeight="1">
      <c r="A707" s="55"/>
      <c r="B707" s="55"/>
    </row>
    <row r="708" spans="1:2" ht="15.75" customHeight="1">
      <c r="A708" s="55"/>
      <c r="B708" s="55"/>
    </row>
    <row r="709" spans="1:2" ht="15.75" customHeight="1">
      <c r="A709" s="55"/>
      <c r="B709" s="55"/>
    </row>
    <row r="710" spans="1:2" ht="15.75" customHeight="1">
      <c r="A710" s="55"/>
      <c r="B710" s="55"/>
    </row>
    <row r="711" spans="1:2" ht="15.75" customHeight="1">
      <c r="A711" s="55"/>
      <c r="B711" s="55"/>
    </row>
    <row r="712" spans="1:2" ht="15.75" customHeight="1">
      <c r="A712" s="55"/>
      <c r="B712" s="55"/>
    </row>
    <row r="713" spans="1:2" ht="15.75" customHeight="1">
      <c r="A713" s="55"/>
      <c r="B713" s="55"/>
    </row>
    <row r="714" spans="1:2" ht="15.75" customHeight="1">
      <c r="A714" s="55"/>
      <c r="B714" s="55"/>
    </row>
    <row r="715" spans="1:2" ht="15.75" customHeight="1">
      <c r="A715" s="55"/>
      <c r="B715" s="55"/>
    </row>
    <row r="716" spans="1:2" ht="15.75" customHeight="1">
      <c r="A716" s="55"/>
      <c r="B716" s="55"/>
    </row>
    <row r="717" spans="1:2" ht="15.75" customHeight="1">
      <c r="A717" s="55"/>
      <c r="B717" s="55"/>
    </row>
    <row r="718" spans="1:2" ht="15.75" customHeight="1">
      <c r="A718" s="55"/>
      <c r="B718" s="55"/>
    </row>
    <row r="719" spans="1:2" ht="15.75" customHeight="1">
      <c r="A719" s="55"/>
      <c r="B719" s="55"/>
    </row>
    <row r="720" spans="1:2" ht="15.75" customHeight="1">
      <c r="A720" s="55"/>
      <c r="B720" s="55"/>
    </row>
    <row r="721" spans="1:2" ht="15.75" customHeight="1">
      <c r="A721" s="55"/>
      <c r="B721" s="55"/>
    </row>
    <row r="722" spans="1:2" ht="15.75" customHeight="1">
      <c r="A722" s="55"/>
      <c r="B722" s="55"/>
    </row>
    <row r="723" spans="1:2" ht="15.75" customHeight="1">
      <c r="A723" s="55"/>
      <c r="B723" s="55"/>
    </row>
    <row r="724" spans="1:2" ht="15.75" customHeight="1">
      <c r="A724" s="55"/>
      <c r="B724" s="55"/>
    </row>
    <row r="725" spans="1:2" ht="15.75" customHeight="1">
      <c r="A725" s="55"/>
      <c r="B725" s="55"/>
    </row>
    <row r="726" spans="1:2" ht="15.75" customHeight="1">
      <c r="A726" s="55"/>
      <c r="B726" s="55"/>
    </row>
    <row r="727" spans="1:2" ht="15.75" customHeight="1">
      <c r="A727" s="55"/>
      <c r="B727" s="55"/>
    </row>
    <row r="728" spans="1:2" ht="15.75" customHeight="1">
      <c r="A728" s="55"/>
      <c r="B728" s="55"/>
    </row>
    <row r="729" spans="1:2" ht="15.75" customHeight="1">
      <c r="A729" s="55"/>
      <c r="B729" s="55"/>
    </row>
    <row r="730" spans="1:2" ht="15.75" customHeight="1">
      <c r="A730" s="55"/>
      <c r="B730" s="55"/>
    </row>
    <row r="731" spans="1:2" ht="15.75" customHeight="1">
      <c r="A731" s="55"/>
      <c r="B731" s="55"/>
    </row>
    <row r="732" spans="1:2" ht="15.75" customHeight="1">
      <c r="A732" s="55"/>
      <c r="B732" s="55"/>
    </row>
    <row r="733" spans="1:2" ht="15.75" customHeight="1">
      <c r="A733" s="55"/>
      <c r="B733" s="55"/>
    </row>
    <row r="734" spans="1:2" ht="15.75" customHeight="1">
      <c r="A734" s="55"/>
      <c r="B734" s="55"/>
    </row>
    <row r="735" spans="1:2" ht="15.75" customHeight="1">
      <c r="A735" s="55"/>
      <c r="B735" s="55"/>
    </row>
    <row r="736" spans="1:2" ht="15.75" customHeight="1">
      <c r="A736" s="55"/>
      <c r="B736" s="55"/>
    </row>
    <row r="737" spans="1:2" ht="15.75" customHeight="1">
      <c r="A737" s="55"/>
      <c r="B737" s="55"/>
    </row>
    <row r="738" spans="1:2" ht="15.75" customHeight="1">
      <c r="A738" s="55"/>
      <c r="B738" s="55"/>
    </row>
    <row r="739" spans="1:2" ht="15.75" customHeight="1">
      <c r="A739" s="55"/>
      <c r="B739" s="55"/>
    </row>
    <row r="740" spans="1:2" ht="15.75" customHeight="1">
      <c r="A740" s="55"/>
      <c r="B740" s="55"/>
    </row>
    <row r="741" spans="1:2" ht="15.75" customHeight="1">
      <c r="A741" s="55"/>
      <c r="B741" s="55"/>
    </row>
    <row r="742" spans="1:2" ht="15.75" customHeight="1">
      <c r="A742" s="55"/>
      <c r="B742" s="55"/>
    </row>
    <row r="743" spans="1:2" ht="15.75" customHeight="1">
      <c r="A743" s="55"/>
      <c r="B743" s="55"/>
    </row>
    <row r="744" spans="1:2" ht="15.75" customHeight="1">
      <c r="A744" s="55"/>
      <c r="B744" s="55"/>
    </row>
    <row r="745" spans="1:2" ht="15.75" customHeight="1">
      <c r="A745" s="55"/>
      <c r="B745" s="55"/>
    </row>
    <row r="746" spans="1:2" ht="15.75" customHeight="1">
      <c r="A746" s="55"/>
      <c r="B746" s="55"/>
    </row>
    <row r="747" spans="1:2" ht="15.75" customHeight="1">
      <c r="A747" s="55"/>
      <c r="B747" s="55"/>
    </row>
    <row r="748" spans="1:2" ht="15.75" customHeight="1">
      <c r="A748" s="55"/>
      <c r="B748" s="55"/>
    </row>
    <row r="749" spans="1:2" ht="15.75" customHeight="1">
      <c r="A749" s="55"/>
      <c r="B749" s="55"/>
    </row>
    <row r="750" spans="1:2" ht="15.75" customHeight="1">
      <c r="A750" s="55"/>
      <c r="B750" s="55"/>
    </row>
    <row r="751" spans="1:2" ht="15.75" customHeight="1">
      <c r="A751" s="55"/>
      <c r="B751" s="55"/>
    </row>
    <row r="752" spans="1:2" ht="15.75" customHeight="1">
      <c r="A752" s="55"/>
      <c r="B752" s="55"/>
    </row>
    <row r="753" spans="1:2" ht="15.75" customHeight="1">
      <c r="A753" s="55"/>
      <c r="B753" s="55"/>
    </row>
    <row r="754" spans="1:2" ht="15.75" customHeight="1">
      <c r="A754" s="55"/>
      <c r="B754" s="55"/>
    </row>
    <row r="755" spans="1:2" ht="15.75" customHeight="1">
      <c r="A755" s="55"/>
      <c r="B755" s="55"/>
    </row>
    <row r="756" spans="1:2" ht="15.75" customHeight="1">
      <c r="A756" s="55"/>
      <c r="B756" s="55"/>
    </row>
    <row r="757" spans="1:2" ht="15.75" customHeight="1">
      <c r="A757" s="55"/>
      <c r="B757" s="55"/>
    </row>
    <row r="758" spans="1:2" ht="15.75" customHeight="1">
      <c r="A758" s="55"/>
      <c r="B758" s="55"/>
    </row>
    <row r="759" spans="1:2" ht="15.75" customHeight="1">
      <c r="A759" s="55"/>
      <c r="B759" s="55"/>
    </row>
    <row r="760" spans="1:2" ht="15.75" customHeight="1">
      <c r="A760" s="55"/>
      <c r="B760" s="55"/>
    </row>
    <row r="761" spans="1:2" ht="15.75" customHeight="1">
      <c r="A761" s="55"/>
      <c r="B761" s="55"/>
    </row>
    <row r="762" spans="1:2" ht="15.75" customHeight="1">
      <c r="A762" s="55"/>
      <c r="B762" s="55"/>
    </row>
    <row r="763" spans="1:2" ht="15.75" customHeight="1">
      <c r="A763" s="55"/>
      <c r="B763" s="55"/>
    </row>
    <row r="764" spans="1:2" ht="15.75" customHeight="1">
      <c r="A764" s="55"/>
      <c r="B764" s="55"/>
    </row>
    <row r="765" spans="1:2" ht="15.75" customHeight="1">
      <c r="A765" s="55"/>
      <c r="B765" s="55"/>
    </row>
    <row r="766" spans="1:2" ht="15.75" customHeight="1">
      <c r="A766" s="55"/>
      <c r="B766" s="55"/>
    </row>
    <row r="767" spans="1:2" ht="15.75" customHeight="1">
      <c r="A767" s="55"/>
      <c r="B767" s="55"/>
    </row>
    <row r="768" spans="1:2" ht="15.75" customHeight="1">
      <c r="A768" s="55"/>
      <c r="B768" s="55"/>
    </row>
    <row r="769" spans="1:2" ht="15.75" customHeight="1">
      <c r="A769" s="55"/>
      <c r="B769" s="55"/>
    </row>
    <row r="770" spans="1:2" ht="15.75" customHeight="1">
      <c r="A770" s="55"/>
      <c r="B770" s="55"/>
    </row>
    <row r="771" spans="1:2" ht="15.75" customHeight="1">
      <c r="A771" s="55"/>
      <c r="B771" s="55"/>
    </row>
    <row r="772" spans="1:2" ht="15.75" customHeight="1">
      <c r="A772" s="55"/>
      <c r="B772" s="55"/>
    </row>
    <row r="773" spans="1:2" ht="15.75" customHeight="1">
      <c r="A773" s="55"/>
      <c r="B773" s="55"/>
    </row>
    <row r="774" spans="1:2" ht="15.75" customHeight="1">
      <c r="A774" s="55"/>
      <c r="B774" s="55"/>
    </row>
    <row r="775" spans="1:2" ht="15.75" customHeight="1">
      <c r="A775" s="55"/>
      <c r="B775" s="55"/>
    </row>
    <row r="776" spans="1:2" ht="15.75" customHeight="1">
      <c r="A776" s="55"/>
      <c r="B776" s="55"/>
    </row>
    <row r="777" spans="1:2" ht="15.75" customHeight="1">
      <c r="A777" s="55"/>
      <c r="B777" s="55"/>
    </row>
    <row r="778" spans="1:2" ht="15.75" customHeight="1">
      <c r="A778" s="55"/>
      <c r="B778" s="55"/>
    </row>
    <row r="779" spans="1:2" ht="15.75" customHeight="1">
      <c r="A779" s="55"/>
      <c r="B779" s="55"/>
    </row>
    <row r="780" spans="1:2" ht="15.75" customHeight="1">
      <c r="A780" s="55"/>
      <c r="B780" s="55"/>
    </row>
    <row r="781" spans="1:2" ht="15.75" customHeight="1">
      <c r="A781" s="55"/>
      <c r="B781" s="55"/>
    </row>
    <row r="782" spans="1:2" ht="15.75" customHeight="1">
      <c r="A782" s="55"/>
      <c r="B782" s="55"/>
    </row>
    <row r="783" spans="1:2" ht="15.75" customHeight="1">
      <c r="A783" s="55"/>
      <c r="B783" s="55"/>
    </row>
    <row r="784" spans="1:2" ht="15.75" customHeight="1">
      <c r="A784" s="55"/>
      <c r="B784" s="55"/>
    </row>
    <row r="785" spans="1:2" ht="15.75" customHeight="1">
      <c r="A785" s="55"/>
      <c r="B785" s="55"/>
    </row>
    <row r="786" spans="1:2" ht="15.75" customHeight="1">
      <c r="A786" s="55"/>
      <c r="B786" s="55"/>
    </row>
    <row r="787" spans="1:2" ht="15.75" customHeight="1">
      <c r="A787" s="55"/>
      <c r="B787" s="55"/>
    </row>
    <row r="788" spans="1:2" ht="15.75" customHeight="1">
      <c r="A788" s="55"/>
      <c r="B788" s="55"/>
    </row>
    <row r="789" spans="1:2" ht="15.75" customHeight="1">
      <c r="A789" s="55"/>
      <c r="B789" s="55"/>
    </row>
    <row r="790" spans="1:2" ht="15.75" customHeight="1">
      <c r="A790" s="55"/>
      <c r="B790" s="55"/>
    </row>
    <row r="791" spans="1:2" ht="15.75" customHeight="1">
      <c r="A791" s="55"/>
      <c r="B791" s="55"/>
    </row>
    <row r="792" spans="1:2" ht="15.75" customHeight="1">
      <c r="A792" s="55"/>
      <c r="B792" s="55"/>
    </row>
    <row r="793" spans="1:2" ht="15.75" customHeight="1">
      <c r="A793" s="55"/>
      <c r="B793" s="55"/>
    </row>
    <row r="794" spans="1:2" ht="15.75" customHeight="1">
      <c r="A794" s="55"/>
      <c r="B794" s="55"/>
    </row>
    <row r="795" spans="1:2" ht="15.75" customHeight="1">
      <c r="A795" s="55"/>
      <c r="B795" s="55"/>
    </row>
    <row r="796" spans="1:2" ht="15.75" customHeight="1">
      <c r="A796" s="55"/>
      <c r="B796" s="55"/>
    </row>
    <row r="797" spans="1:2" ht="15.75" customHeight="1">
      <c r="A797" s="55"/>
      <c r="B797" s="55"/>
    </row>
    <row r="798" spans="1:2" ht="15.75" customHeight="1">
      <c r="A798" s="55"/>
      <c r="B798" s="55"/>
    </row>
    <row r="799" spans="1:2" ht="15.75" customHeight="1">
      <c r="A799" s="55"/>
      <c r="B799" s="55"/>
    </row>
    <row r="800" spans="1:2" ht="15.75" customHeight="1">
      <c r="A800" s="55"/>
      <c r="B800" s="55"/>
    </row>
    <row r="801" spans="1:2" ht="15.75" customHeight="1">
      <c r="A801" s="55"/>
      <c r="B801" s="55"/>
    </row>
    <row r="802" spans="1:2" ht="15.75" customHeight="1">
      <c r="A802" s="55"/>
      <c r="B802" s="55"/>
    </row>
    <row r="803" spans="1:2" ht="15.75" customHeight="1">
      <c r="A803" s="55"/>
      <c r="B803" s="55"/>
    </row>
    <row r="804" spans="1:2" ht="15.75" customHeight="1">
      <c r="A804" s="55"/>
      <c r="B804" s="55"/>
    </row>
    <row r="805" spans="1:2" ht="15.75" customHeight="1">
      <c r="A805" s="55"/>
      <c r="B805" s="55"/>
    </row>
    <row r="806" spans="1:2" ht="15.75" customHeight="1">
      <c r="A806" s="55"/>
      <c r="B806" s="55"/>
    </row>
    <row r="807" spans="1:2" ht="15.75" customHeight="1">
      <c r="A807" s="55"/>
      <c r="B807" s="55"/>
    </row>
    <row r="808" spans="1:2" ht="15.75" customHeight="1">
      <c r="A808" s="55"/>
      <c r="B808" s="55"/>
    </row>
    <row r="809" spans="1:2" ht="15.75" customHeight="1">
      <c r="A809" s="55"/>
      <c r="B809" s="55"/>
    </row>
    <row r="810" spans="1:2" ht="15.75" customHeight="1">
      <c r="A810" s="55"/>
      <c r="B810" s="55"/>
    </row>
    <row r="811" spans="1:2" ht="15.75" customHeight="1">
      <c r="A811" s="55"/>
      <c r="B811" s="55"/>
    </row>
    <row r="812" spans="1:2" ht="15.75" customHeight="1">
      <c r="A812" s="55"/>
      <c r="B812" s="55"/>
    </row>
    <row r="813" spans="1:2" ht="15.75" customHeight="1">
      <c r="A813" s="55"/>
      <c r="B813" s="55"/>
    </row>
    <row r="814" spans="1:2" ht="15.75" customHeight="1">
      <c r="A814" s="55"/>
      <c r="B814" s="55"/>
    </row>
    <row r="815" spans="1:2" ht="15.75" customHeight="1">
      <c r="A815" s="55"/>
      <c r="B815" s="55"/>
    </row>
    <row r="816" spans="1:2" ht="15.75" customHeight="1">
      <c r="A816" s="55"/>
      <c r="B816" s="55"/>
    </row>
    <row r="817" spans="1:2" ht="15.75" customHeight="1">
      <c r="A817" s="55"/>
      <c r="B817" s="55"/>
    </row>
    <row r="818" spans="1:2" ht="15.75" customHeight="1">
      <c r="A818" s="55"/>
      <c r="B818" s="55"/>
    </row>
    <row r="819" spans="1:2" ht="15.75" customHeight="1">
      <c r="A819" s="55"/>
      <c r="B819" s="55"/>
    </row>
    <row r="820" spans="1:2" ht="15.75" customHeight="1">
      <c r="A820" s="55"/>
      <c r="B820" s="55"/>
    </row>
    <row r="821" spans="1:2" ht="15.75" customHeight="1">
      <c r="A821" s="55"/>
      <c r="B821" s="55"/>
    </row>
    <row r="822" spans="1:2" ht="15.75" customHeight="1">
      <c r="A822" s="55"/>
      <c r="B822" s="55"/>
    </row>
    <row r="823" spans="1:2" ht="15.75" customHeight="1">
      <c r="A823" s="55"/>
      <c r="B823" s="55"/>
    </row>
    <row r="824" spans="1:2" ht="15.75" customHeight="1">
      <c r="A824" s="55"/>
      <c r="B824" s="55"/>
    </row>
    <row r="825" spans="1:2" ht="15.75" customHeight="1">
      <c r="A825" s="55"/>
      <c r="B825" s="55"/>
    </row>
    <row r="826" spans="1:2" ht="15.75" customHeight="1">
      <c r="A826" s="55"/>
      <c r="B826" s="55"/>
    </row>
    <row r="827" spans="1:2" ht="15.75" customHeight="1">
      <c r="A827" s="55"/>
      <c r="B827" s="55"/>
    </row>
    <row r="828" spans="1:2" ht="15.75" customHeight="1">
      <c r="A828" s="55"/>
      <c r="B828" s="55"/>
    </row>
    <row r="829" spans="1:2" ht="15.75" customHeight="1">
      <c r="A829" s="55"/>
      <c r="B829" s="55"/>
    </row>
    <row r="830" spans="1:2" ht="15.75" customHeight="1">
      <c r="A830" s="55"/>
      <c r="B830" s="55"/>
    </row>
    <row r="831" spans="1:2" ht="15.75" customHeight="1">
      <c r="A831" s="55"/>
      <c r="B831" s="55"/>
    </row>
    <row r="832" spans="1:2" ht="15.75" customHeight="1">
      <c r="A832" s="55"/>
      <c r="B832" s="55"/>
    </row>
    <row r="833" spans="1:2" ht="15.75" customHeight="1">
      <c r="A833" s="55"/>
      <c r="B833" s="55"/>
    </row>
    <row r="834" spans="1:2" ht="15.75" customHeight="1">
      <c r="A834" s="55"/>
      <c r="B834" s="55"/>
    </row>
    <row r="835" spans="1:2" ht="15.75" customHeight="1">
      <c r="A835" s="55"/>
      <c r="B835" s="55"/>
    </row>
    <row r="836" spans="1:2" ht="15.75" customHeight="1">
      <c r="A836" s="55"/>
      <c r="B836" s="55"/>
    </row>
    <row r="837" spans="1:2" ht="15.75" customHeight="1">
      <c r="A837" s="55"/>
      <c r="B837" s="55"/>
    </row>
    <row r="838" spans="1:2" ht="15.75" customHeight="1">
      <c r="A838" s="55"/>
      <c r="B838" s="55"/>
    </row>
    <row r="839" spans="1:2" ht="15.75" customHeight="1">
      <c r="A839" s="55"/>
      <c r="B839" s="55"/>
    </row>
    <row r="840" spans="1:2" ht="15.75" customHeight="1">
      <c r="A840" s="55"/>
      <c r="B840" s="55"/>
    </row>
    <row r="841" spans="1:2" ht="15.75" customHeight="1">
      <c r="A841" s="55"/>
      <c r="B841" s="55"/>
    </row>
    <row r="842" spans="1:2" ht="15.75" customHeight="1">
      <c r="A842" s="55"/>
      <c r="B842" s="55"/>
    </row>
    <row r="843" spans="1:2" ht="15.75" customHeight="1">
      <c r="A843" s="55"/>
      <c r="B843" s="55"/>
    </row>
    <row r="844" spans="1:2" ht="15.75" customHeight="1">
      <c r="A844" s="55"/>
      <c r="B844" s="55"/>
    </row>
    <row r="845" spans="1:2" ht="15.75" customHeight="1">
      <c r="A845" s="55"/>
      <c r="B845" s="55"/>
    </row>
    <row r="846" spans="1:2" ht="15.75" customHeight="1">
      <c r="A846" s="55"/>
      <c r="B846" s="55"/>
    </row>
    <row r="847" spans="1:2" ht="15.75" customHeight="1">
      <c r="A847" s="55"/>
      <c r="B847" s="55"/>
    </row>
    <row r="848" spans="1:2" ht="15.75" customHeight="1">
      <c r="A848" s="55"/>
      <c r="B848" s="55"/>
    </row>
    <row r="849" spans="1:2" ht="15.75" customHeight="1">
      <c r="A849" s="55"/>
      <c r="B849" s="55"/>
    </row>
    <row r="850" spans="1:2" ht="15.75" customHeight="1">
      <c r="A850" s="55"/>
      <c r="B850" s="55"/>
    </row>
    <row r="851" spans="1:2" ht="15.75" customHeight="1">
      <c r="A851" s="55"/>
      <c r="B851" s="55"/>
    </row>
    <row r="852" spans="1:2" ht="15.75" customHeight="1">
      <c r="A852" s="55"/>
      <c r="B852" s="55"/>
    </row>
    <row r="853" spans="1:2" ht="15.75" customHeight="1">
      <c r="A853" s="55"/>
      <c r="B853" s="55"/>
    </row>
    <row r="854" spans="1:2" ht="15.75" customHeight="1">
      <c r="A854" s="55"/>
      <c r="B854" s="55"/>
    </row>
    <row r="855" spans="1:2" ht="15.75" customHeight="1">
      <c r="A855" s="55"/>
      <c r="B855" s="55"/>
    </row>
    <row r="856" spans="1:2" ht="15.75" customHeight="1">
      <c r="A856" s="55"/>
      <c r="B856" s="55"/>
    </row>
    <row r="857" spans="1:2" ht="15.75" customHeight="1">
      <c r="A857" s="55"/>
      <c r="B857" s="55"/>
    </row>
    <row r="858" spans="1:2" ht="15.75" customHeight="1">
      <c r="A858" s="55"/>
      <c r="B858" s="55"/>
    </row>
    <row r="859" spans="1:2" ht="15.75" customHeight="1">
      <c r="A859" s="55"/>
      <c r="B859" s="55"/>
    </row>
    <row r="860" spans="1:2" ht="15.75" customHeight="1">
      <c r="A860" s="55"/>
      <c r="B860" s="55"/>
    </row>
    <row r="861" spans="1:2" ht="15.75" customHeight="1">
      <c r="A861" s="55"/>
      <c r="B861" s="55"/>
    </row>
    <row r="862" spans="1:2" ht="15.75" customHeight="1">
      <c r="A862" s="55"/>
      <c r="B862" s="55"/>
    </row>
    <row r="863" spans="1:2" ht="15.75" customHeight="1">
      <c r="A863" s="55"/>
      <c r="B863" s="55"/>
    </row>
    <row r="864" spans="1:2" ht="15.75" customHeight="1">
      <c r="A864" s="55"/>
      <c r="B864" s="55"/>
    </row>
    <row r="865" spans="1:2" ht="15.75" customHeight="1">
      <c r="A865" s="55"/>
      <c r="B865" s="55"/>
    </row>
    <row r="866" spans="1:2" ht="15.75" customHeight="1">
      <c r="A866" s="55"/>
      <c r="B866" s="55"/>
    </row>
    <row r="867" spans="1:2" ht="15.75" customHeight="1">
      <c r="A867" s="55"/>
      <c r="B867" s="55"/>
    </row>
    <row r="868" spans="1:2" ht="15.75" customHeight="1">
      <c r="A868" s="55"/>
      <c r="B868" s="55"/>
    </row>
    <row r="869" spans="1:2" ht="15.75" customHeight="1">
      <c r="A869" s="55"/>
      <c r="B869" s="55"/>
    </row>
    <row r="870" spans="1:2" ht="15.75" customHeight="1">
      <c r="A870" s="55"/>
      <c r="B870" s="55"/>
    </row>
    <row r="871" spans="1:2" ht="15.75" customHeight="1">
      <c r="A871" s="55"/>
      <c r="B871" s="55"/>
    </row>
    <row r="872" spans="1:2" ht="15.75" customHeight="1">
      <c r="A872" s="55"/>
      <c r="B872" s="55"/>
    </row>
    <row r="873" spans="1:2" ht="15.75" customHeight="1">
      <c r="A873" s="55"/>
      <c r="B873" s="55"/>
    </row>
    <row r="874" spans="1:2" ht="15.75" customHeight="1">
      <c r="A874" s="55"/>
      <c r="B874" s="55"/>
    </row>
    <row r="875" spans="1:2" ht="15.75" customHeight="1">
      <c r="A875" s="55"/>
      <c r="B875" s="55"/>
    </row>
    <row r="876" spans="1:2" ht="15.75" customHeight="1">
      <c r="A876" s="55"/>
      <c r="B876" s="55"/>
    </row>
    <row r="877" spans="1:2" ht="15.75" customHeight="1">
      <c r="A877" s="55"/>
      <c r="B877" s="55"/>
    </row>
    <row r="878" spans="1:2" ht="15.75" customHeight="1">
      <c r="A878" s="55"/>
      <c r="B878" s="55"/>
    </row>
    <row r="879" spans="1:2" ht="15.75" customHeight="1">
      <c r="A879" s="55"/>
      <c r="B879" s="55"/>
    </row>
    <row r="880" spans="1:2" ht="15.75" customHeight="1">
      <c r="A880" s="55"/>
      <c r="B880" s="55"/>
    </row>
    <row r="881" spans="1:2" ht="15.75" customHeight="1">
      <c r="A881" s="55"/>
      <c r="B881" s="55"/>
    </row>
    <row r="882" spans="1:2" ht="15.75" customHeight="1">
      <c r="A882" s="55"/>
      <c r="B882" s="55"/>
    </row>
    <row r="883" spans="1:2" ht="15.75" customHeight="1">
      <c r="A883" s="55"/>
      <c r="B883" s="55"/>
    </row>
    <row r="884" spans="1:2" ht="15.75" customHeight="1">
      <c r="A884" s="55"/>
      <c r="B884" s="55"/>
    </row>
    <row r="885" spans="1:2" ht="15.75" customHeight="1">
      <c r="A885" s="55"/>
      <c r="B885" s="55"/>
    </row>
    <row r="886" spans="1:2" ht="15.75" customHeight="1">
      <c r="A886" s="55"/>
      <c r="B886" s="55"/>
    </row>
    <row r="887" spans="1:2" ht="15.75" customHeight="1">
      <c r="A887" s="55"/>
      <c r="B887" s="55"/>
    </row>
    <row r="888" spans="1:2" ht="15.75" customHeight="1">
      <c r="A888" s="55"/>
      <c r="B888" s="55"/>
    </row>
    <row r="889" spans="1:2" ht="15.75" customHeight="1">
      <c r="A889" s="55"/>
      <c r="B889" s="55"/>
    </row>
    <row r="890" spans="1:2" ht="15.75" customHeight="1">
      <c r="A890" s="55"/>
      <c r="B890" s="55"/>
    </row>
    <row r="891" spans="1:2" ht="15.75" customHeight="1">
      <c r="A891" s="55"/>
      <c r="B891" s="55"/>
    </row>
    <row r="892" spans="1:2" ht="15.75" customHeight="1">
      <c r="A892" s="55"/>
      <c r="B892" s="55"/>
    </row>
    <row r="893" spans="1:2" ht="15.75" customHeight="1">
      <c r="A893" s="55"/>
      <c r="B893" s="55"/>
    </row>
    <row r="894" spans="1:2" ht="15.75" customHeight="1">
      <c r="A894" s="55"/>
      <c r="B894" s="55"/>
    </row>
    <row r="895" spans="1:2" ht="15.75" customHeight="1">
      <c r="A895" s="55"/>
      <c r="B895" s="55"/>
    </row>
    <row r="896" spans="1:2" ht="15.75" customHeight="1">
      <c r="A896" s="55"/>
      <c r="B896" s="55"/>
    </row>
    <row r="897" spans="1:2" ht="15.75" customHeight="1">
      <c r="A897" s="55"/>
      <c r="B897" s="55"/>
    </row>
    <row r="898" spans="1:2" ht="15.75" customHeight="1">
      <c r="A898" s="55"/>
      <c r="B898" s="55"/>
    </row>
    <row r="899" spans="1:2" ht="15.75" customHeight="1">
      <c r="A899" s="55"/>
      <c r="B899" s="55"/>
    </row>
    <row r="900" spans="1:2" ht="15.75" customHeight="1">
      <c r="A900" s="55"/>
      <c r="B900" s="55"/>
    </row>
    <row r="901" spans="1:2" ht="15.75" customHeight="1">
      <c r="A901" s="55"/>
      <c r="B901" s="55"/>
    </row>
    <row r="902" spans="1:2" ht="15.75" customHeight="1">
      <c r="A902" s="55"/>
      <c r="B902" s="55"/>
    </row>
    <row r="903" spans="1:2" ht="15.75" customHeight="1">
      <c r="A903" s="55"/>
      <c r="B903" s="55"/>
    </row>
    <row r="904" spans="1:2" ht="15.75" customHeight="1">
      <c r="A904" s="55"/>
      <c r="B904" s="55"/>
    </row>
    <row r="905" spans="1:2" ht="15.75" customHeight="1">
      <c r="A905" s="55"/>
      <c r="B905" s="55"/>
    </row>
    <row r="906" spans="1:2" ht="15.75" customHeight="1">
      <c r="A906" s="55"/>
      <c r="B906" s="55"/>
    </row>
    <row r="907" spans="1:2" ht="15.75" customHeight="1">
      <c r="A907" s="55"/>
      <c r="B907" s="55"/>
    </row>
    <row r="908" spans="1:2" ht="15.75" customHeight="1">
      <c r="A908" s="55"/>
      <c r="B908" s="55"/>
    </row>
    <row r="909" spans="1:2" ht="15.75" customHeight="1">
      <c r="A909" s="55"/>
      <c r="B909" s="55"/>
    </row>
    <row r="910" spans="1:2" ht="15.75" customHeight="1">
      <c r="A910" s="55"/>
      <c r="B910" s="55"/>
    </row>
    <row r="911" spans="1:2" ht="15.75" customHeight="1">
      <c r="A911" s="55"/>
      <c r="B911" s="55"/>
    </row>
    <row r="912" spans="1:2" ht="15.75" customHeight="1">
      <c r="A912" s="55"/>
      <c r="B912" s="55"/>
    </row>
    <row r="913" spans="1:2" ht="15.75" customHeight="1">
      <c r="A913" s="55"/>
      <c r="B913" s="55"/>
    </row>
    <row r="914" spans="1:2" ht="15.75" customHeight="1">
      <c r="A914" s="55"/>
      <c r="B914" s="55"/>
    </row>
    <row r="915" spans="1:2" ht="15.75" customHeight="1">
      <c r="A915" s="55"/>
      <c r="B915" s="55"/>
    </row>
    <row r="916" spans="1:2" ht="15.75" customHeight="1">
      <c r="A916" s="55"/>
      <c r="B916" s="55"/>
    </row>
    <row r="917" spans="1:2" ht="15.75" customHeight="1">
      <c r="A917" s="55"/>
      <c r="B917" s="55"/>
    </row>
    <row r="918" spans="1:2" ht="15.75" customHeight="1">
      <c r="A918" s="55"/>
      <c r="B918" s="55"/>
    </row>
    <row r="919" spans="1:2" ht="15.75" customHeight="1">
      <c r="A919" s="55"/>
      <c r="B919" s="55"/>
    </row>
    <row r="920" spans="1:2" ht="15.75" customHeight="1">
      <c r="A920" s="55"/>
      <c r="B920" s="55"/>
    </row>
    <row r="921" spans="1:2" ht="15.75" customHeight="1">
      <c r="A921" s="55"/>
      <c r="B921" s="55"/>
    </row>
    <row r="922" spans="1:2" ht="15.75" customHeight="1">
      <c r="A922" s="55"/>
      <c r="B922" s="55"/>
    </row>
    <row r="923" spans="1:2" ht="15.75" customHeight="1">
      <c r="A923" s="55"/>
      <c r="B923" s="55"/>
    </row>
    <row r="924" spans="1:2" ht="15.75" customHeight="1">
      <c r="A924" s="55"/>
      <c r="B924" s="55"/>
    </row>
    <row r="925" spans="1:2" ht="15.75" customHeight="1">
      <c r="A925" s="55"/>
      <c r="B925" s="55"/>
    </row>
    <row r="926" spans="1:2" ht="15.75" customHeight="1">
      <c r="A926" s="55"/>
      <c r="B926" s="55"/>
    </row>
    <row r="927" spans="1:2" ht="15.75" customHeight="1">
      <c r="A927" s="55"/>
      <c r="B927" s="55"/>
    </row>
    <row r="928" spans="1:2" ht="15.75" customHeight="1">
      <c r="A928" s="55"/>
      <c r="B928" s="55"/>
    </row>
    <row r="929" spans="1:2" ht="15.75" customHeight="1">
      <c r="A929" s="55"/>
      <c r="B929" s="55"/>
    </row>
    <row r="930" spans="1:2" ht="15.75" customHeight="1">
      <c r="A930" s="55"/>
      <c r="B930" s="55"/>
    </row>
    <row r="931" spans="1:2" ht="15.75" customHeight="1">
      <c r="A931" s="55"/>
      <c r="B931" s="55"/>
    </row>
    <row r="932" spans="1:2" ht="15.75" customHeight="1">
      <c r="A932" s="55"/>
      <c r="B932" s="55"/>
    </row>
    <row r="933" spans="1:2" ht="15.75" customHeight="1">
      <c r="A933" s="55"/>
      <c r="B933" s="55"/>
    </row>
    <row r="934" spans="1:2" ht="15.75" customHeight="1">
      <c r="A934" s="55"/>
      <c r="B934" s="55"/>
    </row>
    <row r="935" spans="1:2" ht="15.75" customHeight="1">
      <c r="A935" s="55"/>
      <c r="B935" s="55"/>
    </row>
    <row r="936" spans="1:2" ht="15.75" customHeight="1">
      <c r="A936" s="55"/>
      <c r="B936" s="55"/>
    </row>
    <row r="937" spans="1:2" ht="15.75" customHeight="1">
      <c r="A937" s="55"/>
      <c r="B937" s="55"/>
    </row>
    <row r="938" spans="1:2" ht="15.75" customHeight="1">
      <c r="A938" s="55"/>
      <c r="B938" s="55"/>
    </row>
    <row r="939" spans="1:2" ht="15.75" customHeight="1">
      <c r="A939" s="55"/>
      <c r="B939" s="55"/>
    </row>
    <row r="940" spans="1:2" ht="15.75" customHeight="1">
      <c r="A940" s="55"/>
      <c r="B940" s="55"/>
    </row>
    <row r="941" spans="1:2" ht="15.75" customHeight="1">
      <c r="A941" s="55"/>
      <c r="B941" s="55"/>
    </row>
    <row r="942" spans="1:2" ht="15.75" customHeight="1">
      <c r="A942" s="55"/>
      <c r="B942" s="55"/>
    </row>
    <row r="943" spans="1:2" ht="15.75" customHeight="1">
      <c r="A943" s="55"/>
      <c r="B943" s="55"/>
    </row>
    <row r="944" spans="1:2" ht="15.75" customHeight="1">
      <c r="A944" s="55"/>
      <c r="B944" s="55"/>
    </row>
    <row r="945" spans="1:2" ht="15.75" customHeight="1">
      <c r="A945" s="55"/>
      <c r="B945" s="55"/>
    </row>
    <row r="946" spans="1:2" ht="15.75" customHeight="1">
      <c r="A946" s="55"/>
      <c r="B946" s="55"/>
    </row>
    <row r="947" spans="1:2" ht="15.75" customHeight="1">
      <c r="A947" s="55"/>
      <c r="B947" s="55"/>
    </row>
    <row r="948" spans="1:2" ht="15.75" customHeight="1">
      <c r="A948" s="55"/>
      <c r="B948" s="55"/>
    </row>
    <row r="949" spans="1:2" ht="15.75" customHeight="1">
      <c r="A949" s="55"/>
      <c r="B949" s="55"/>
    </row>
    <row r="950" spans="1:2" ht="15.75" customHeight="1">
      <c r="A950" s="55"/>
      <c r="B950" s="55"/>
    </row>
    <row r="951" spans="1:2" ht="15.75" customHeight="1">
      <c r="A951" s="55"/>
      <c r="B951" s="55"/>
    </row>
    <row r="952" spans="1:2" ht="15.75" customHeight="1">
      <c r="A952" s="55"/>
      <c r="B952" s="55"/>
    </row>
    <row r="953" spans="1:2" ht="15.75" customHeight="1">
      <c r="A953" s="55"/>
      <c r="B953" s="55"/>
    </row>
    <row r="954" spans="1:2" ht="15.75" customHeight="1">
      <c r="A954" s="55"/>
      <c r="B954" s="55"/>
    </row>
    <row r="955" spans="1:2" ht="15.75" customHeight="1">
      <c r="A955" s="55"/>
      <c r="B955" s="55"/>
    </row>
    <row r="956" spans="1:2" ht="15.75" customHeight="1">
      <c r="A956" s="55"/>
      <c r="B956" s="55"/>
    </row>
    <row r="957" spans="1:2" ht="15.75" customHeight="1">
      <c r="A957" s="55"/>
      <c r="B957" s="55"/>
    </row>
    <row r="958" spans="1:2" ht="15.75" customHeight="1">
      <c r="A958" s="55"/>
      <c r="B958" s="55"/>
    </row>
    <row r="959" spans="1:2" ht="15.75" customHeight="1">
      <c r="A959" s="55"/>
      <c r="B959" s="55"/>
    </row>
    <row r="960" spans="1:2" ht="15.75" customHeight="1">
      <c r="A960" s="55"/>
      <c r="B960" s="55"/>
    </row>
    <row r="961" spans="1:2" ht="15.75" customHeight="1">
      <c r="A961" s="55"/>
      <c r="B961" s="55"/>
    </row>
    <row r="962" spans="1:2" ht="15.75" customHeight="1">
      <c r="A962" s="55"/>
      <c r="B962" s="55"/>
    </row>
    <row r="963" spans="1:2" ht="15.75" customHeight="1">
      <c r="A963" s="55"/>
      <c r="B963" s="55"/>
    </row>
    <row r="964" spans="1:2" ht="15.75" customHeight="1">
      <c r="A964" s="55"/>
      <c r="B964" s="55"/>
    </row>
    <row r="965" spans="1:2" ht="15.75" customHeight="1">
      <c r="A965" s="55"/>
      <c r="B965" s="55"/>
    </row>
    <row r="966" spans="1:2" ht="15.75" customHeight="1">
      <c r="A966" s="55"/>
      <c r="B966" s="55"/>
    </row>
    <row r="967" spans="1:2" ht="15.75" customHeight="1">
      <c r="A967" s="55"/>
      <c r="B967" s="55"/>
    </row>
    <row r="968" spans="1:2" ht="15.75" customHeight="1">
      <c r="A968" s="55"/>
      <c r="B968" s="55"/>
    </row>
    <row r="969" spans="1:2" ht="15.75" customHeight="1">
      <c r="A969" s="55"/>
      <c r="B969" s="55"/>
    </row>
    <row r="970" spans="1:2" ht="15.75" customHeight="1">
      <c r="A970" s="55"/>
      <c r="B970" s="55"/>
    </row>
    <row r="971" spans="1:2" ht="15.75" customHeight="1">
      <c r="A971" s="55"/>
      <c r="B971" s="55"/>
    </row>
    <row r="972" spans="1:2" ht="15.75" customHeight="1">
      <c r="A972" s="55"/>
      <c r="B972" s="55"/>
    </row>
    <row r="973" spans="1:2" ht="15.75" customHeight="1">
      <c r="A973" s="55"/>
      <c r="B973" s="55"/>
    </row>
    <row r="974" spans="1:2" ht="15.75" customHeight="1">
      <c r="A974" s="55"/>
      <c r="B974" s="55"/>
    </row>
    <row r="975" spans="1:2" ht="15.75" customHeight="1">
      <c r="A975" s="55"/>
      <c r="B975" s="55"/>
    </row>
    <row r="976" spans="1:2" ht="15.75" customHeight="1">
      <c r="A976" s="55"/>
      <c r="B976" s="55"/>
    </row>
    <row r="977" spans="1:2" ht="15.75" customHeight="1">
      <c r="A977" s="55"/>
      <c r="B977" s="55"/>
    </row>
    <row r="978" spans="1:2" ht="15.75" customHeight="1">
      <c r="A978" s="55"/>
      <c r="B978" s="55"/>
    </row>
    <row r="979" spans="1:2" ht="15.75" customHeight="1">
      <c r="A979" s="55"/>
      <c r="B979" s="55"/>
    </row>
    <row r="980" spans="1:2" ht="15.75" customHeight="1">
      <c r="A980" s="55"/>
      <c r="B980" s="55"/>
    </row>
    <row r="981" spans="1:2" ht="15.75" customHeight="1">
      <c r="A981" s="55"/>
      <c r="B981" s="55"/>
    </row>
    <row r="982" spans="1:2" ht="15.75" customHeight="1">
      <c r="A982" s="55"/>
      <c r="B982" s="55"/>
    </row>
    <row r="983" spans="1:2" ht="15.75" customHeight="1">
      <c r="A983" s="55"/>
      <c r="B983" s="55"/>
    </row>
    <row r="984" spans="1:2" ht="15.75" customHeight="1">
      <c r="A984" s="55"/>
      <c r="B984" s="55"/>
    </row>
    <row r="985" spans="1:2" ht="15.75" customHeight="1">
      <c r="A985" s="55"/>
      <c r="B985" s="55"/>
    </row>
    <row r="986" spans="1:2" ht="15.75" customHeight="1">
      <c r="A986" s="55"/>
      <c r="B986" s="55"/>
    </row>
    <row r="987" spans="1:2" ht="15.75" customHeight="1">
      <c r="A987" s="55"/>
      <c r="B987" s="55"/>
    </row>
    <row r="988" spans="1:2" ht="15.75" customHeight="1">
      <c r="A988" s="55"/>
      <c r="B988" s="55"/>
    </row>
    <row r="989" spans="1:2" ht="15.75" customHeight="1">
      <c r="A989" s="55"/>
      <c r="B989" s="55"/>
    </row>
    <row r="990" spans="1:2" ht="15.75" customHeight="1">
      <c r="A990" s="55"/>
      <c r="B990" s="55"/>
    </row>
    <row r="991" spans="1:2" ht="15.75" customHeight="1">
      <c r="A991" s="55"/>
      <c r="B991" s="55"/>
    </row>
    <row r="992" spans="1:2" ht="15.75" customHeight="1">
      <c r="A992" s="55"/>
      <c r="B992" s="55"/>
    </row>
    <row r="993" spans="1:2" ht="15.75" customHeight="1">
      <c r="A993" s="55"/>
      <c r="B993" s="55"/>
    </row>
    <row r="994" spans="1:2" ht="15.75" customHeight="1">
      <c r="A994" s="55"/>
      <c r="B994" s="55"/>
    </row>
    <row r="995" spans="1:2" ht="15.75" customHeight="1">
      <c r="A995" s="55"/>
      <c r="B995" s="55"/>
    </row>
    <row r="996" spans="1:2" ht="15.75" customHeight="1">
      <c r="A996" s="55"/>
      <c r="B996" s="55"/>
    </row>
    <row r="997" spans="1:2" ht="15.75" customHeight="1">
      <c r="A997" s="55"/>
      <c r="B997" s="55"/>
    </row>
    <row r="998" spans="1:2" ht="15.75" customHeight="1">
      <c r="A998" s="55"/>
      <c r="B998" s="55"/>
    </row>
    <row r="999" spans="1:2" ht="15.75" customHeight="1">
      <c r="A999" s="55"/>
      <c r="B999" s="55"/>
    </row>
    <row r="1000" spans="1:2" ht="15.75" customHeight="1">
      <c r="A1000" s="55"/>
      <c r="B1000" s="55"/>
    </row>
  </sheetData>
  <mergeCells count="2">
    <mergeCell ref="A1:C1"/>
    <mergeCell ref="A405:C407"/>
  </mergeCells>
  <printOptions horizontalCentered="1"/>
  <pageMargins left="0.70866141732283472" right="0.70866141732283472" top="0.74803149606299213" bottom="0.74803149606299213" header="0" footer="0"/>
  <pageSetup paperSize="9" fitToHeight="0" orientation="portrait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Moneda homogenea</vt:lpstr>
      <vt:lpstr>Balances Originales</vt:lpstr>
      <vt:lpstr>cuadros</vt:lpstr>
      <vt:lpstr>ipc empalme ipim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Hernan Quiroga</cp:lastModifiedBy>
  <dcterms:modified xsi:type="dcterms:W3CDTF">2026-07-03T17:56:59Z</dcterms:modified>
</cp:coreProperties>
</file>